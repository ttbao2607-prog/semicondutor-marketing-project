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30be183d0c48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tuan" sheetId="1" r:id="Rfaf92e283a4648cd"/>
    <x:sheet xmlns:r="http://schemas.openxmlformats.org/officeDocument/2006/relationships" name="Nhat ky" sheetId="2" r:id="R026f7e20a3f641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;(#,##0);0"/>
    <x:numFmt numFmtId="201" formatCode="#,##0"/>
    <x:numFmt numFmtId="202" formatCode="0.0%"/>
    <x:numFmt numFmtId="203" formatCode="dd/mm/yyyy"/>
    <x:numFmt numFmtId="204" formatCode="0.00"/>
  </x:numFmts>
  <x:fonts count="9">
    <x:font>
      <x:sz val="11"/>
      <x:name val="Carlito"/>
    </x:font>
    <x:font>
      <x:sz val="11"/>
      <x:color rgb="FF1E293B"/>
      <x:name val="Arial"/>
    </x:font>
    <x:font>
      <x:b/>
      <x:sz val="16"/>
      <x:color rgb="FF1E293B"/>
      <x:name val="Arial"/>
    </x:font>
    <x:font>
      <x:i/>
      <x:sz val="11"/>
      <x:color rgb="FF1E293B"/>
      <x:name val="Arial"/>
    </x:font>
    <x:font>
      <x:sz val="11"/>
      <x:color rgb="FF2563EB"/>
      <x:name val="Arial"/>
    </x:font>
    <x:font>
      <x:b/>
      <x:sz val="11"/>
      <x:color rgb="FF1E293B"/>
      <x:name val="Arial"/>
    </x:font>
    <x:font>
      <x:i/>
      <x:sz val="11"/>
      <x:color rgb="FF475569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4D6"/>
      </x:patternFill>
    </x:fill>
    <x:fill>
      <x:patternFill patternType="solid">
        <x:fgColor rgb="FFFFF8E8"/>
      </x:patternFill>
    </x:fill>
    <x:fill>
      <x:patternFill patternType="solid">
        <x:fgColor rgb="FF174DB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5ca38e8e3f4189" /><Relationship Type="http://schemas.openxmlformats.org/officeDocument/2006/relationships/theme" Target="/xl/theme/theme1.xml" Id="R6e77b5d18f7440fe" /><Relationship Type="http://schemas.openxmlformats.org/officeDocument/2006/relationships/sharedStrings" Target="/xl/sharedStrings.xml" Id="R2a69f7b1768a4094" /><Relationship Type="http://schemas.openxmlformats.org/officeDocument/2006/relationships/worksheet" Target="/xl/worksheets/sheet1.xml" Id="Rfaf92e283a4648cd" /><Relationship Type="http://schemas.openxmlformats.org/officeDocument/2006/relationships/worksheet" Target="/xl/worksheets/sheet2.xml" Id="R026f7e20a3f641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4DB3"/>
  </x:sheetPr>
  <x:sheetViews>
    <x:sheetView showGridLines="0" workbookViewId="0"/>
  </x:sheetViews>
  <x:sheetFormatPr defaultRowHeight="15"/>
  <x:cols>
    <x:col min="1" max="1" width="25" hidden="0" customWidth="1"/>
    <x:col min="2" max="2" width="2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5" customHeight="1">
      <x:c r="A2" s="3" t="str">
        <x:v>Review paid ads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5" customHeight="1">
      <x:c r="A3" s="4" t="str">
        <x:v>VND, chưa thuế. Bảo quản lý chi trên dashboard; kế toán xử lý thuế và thanh toán.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25" customHeight="1">
      <x:c r="A5" s="24" t="str">
        <x:v>Ngân sách đề xuất</x:v>
      </x:c>
      <x:c r="B5" s="24" t="str">
        <x:v>VND, chưa thuế</x:v>
      </x:c>
      <x:c r="C5" s="2"/>
      <x:c r="D5" s="24" t="str">
        <x:v>Chi đã ghi nhận</x:v>
      </x:c>
      <x:c r="E5" s="24" t="str">
        <x:v>VND, chưa thuế</x:v>
      </x:c>
      <x:c r="F5" s="2"/>
      <x:c r="G5" s="2"/>
      <x:c r="H5" s="2"/>
      <x:c r="I5" s="2"/>
      <x:c r="J5" s="2"/>
    </x:row>
    <x:row r="6" ht="35" customHeight="1">
      <x:c r="A6" s="15" t="str">
        <x:v>Trần toàn phương án</x:v>
      </x:c>
      <x:c r="B6" s="7" t="n">
        <x:v>11700000</x:v>
      </x:c>
      <x:c r="C6" s="2"/>
      <x:c r="D6" s="2" t="str">
        <x:v>Chi đã nhập</x:v>
      </x:c>
      <x:c r="E6" s="8" t="str">
        <x:f>IF(COUNT('Nhat ky'!H8:H37)=0,"",SUM('Nhat ky'!H8:H37))</x:f>
      </x:c>
      <x:c r="F6" s="2"/>
      <x:c r="G6" s="2"/>
      <x:c r="H6" s="2"/>
      <x:c r="I6" s="2"/>
      <x:c r="J6" s="2"/>
    </x:row>
    <x:row r="7" ht="35" customHeight="1">
      <x:c r="A7" s="15" t="str">
        <x:v>Đợt LinkedIn đầu</x:v>
      </x:c>
      <x:c r="B7" s="7" t="n">
        <x:v>5600000</x:v>
      </x:c>
      <x:c r="C7" s="2"/>
      <x:c r="D7" s="2" t="str">
        <x:v>Còn lại so với trần</x:v>
      </x:c>
      <x:c r="E7" s="8" t="str">
        <x:f>IF(ISNUMBER(E6),B6-E6,"")</x:f>
      </x:c>
      <x:c r="F7" s="2"/>
      <x:c r="G7" s="2"/>
      <x:c r="H7" s="2"/>
      <x:c r="I7" s="2"/>
      <x:c r="J7" s="2"/>
    </x:row>
    <x:row r="8" ht="35" customHeight="1">
      <x:c r="A8" s="15" t="str">
        <x:v>Giữ lại trong cùng trần</x:v>
      </x:c>
      <x:c r="B8" s="8" t="n">
        <x:f>B6-B7</x:f>
        <x:v>6100000</x:v>
      </x:c>
      <x:c r="C8" s="2"/>
      <x:c r="D8" s="2"/>
      <x:c r="E8" s="2"/>
      <x:c r="F8" s="2"/>
      <x:c r="G8" s="2"/>
      <x:c r="H8" s="2"/>
      <x:c r="I8" s="2"/>
      <x:c r="J8" s="2"/>
    </x:row>
    <x:row r="9" ht="35" customHeight="1">
      <x:c r="A9" s="15" t="str">
        <x:v>LinkedIn tiếp theo tối đa</x:v>
      </x:c>
      <x:c r="B9" s="7" t="n">
        <x:v>5600000</x:v>
      </x:c>
      <x:c r="C9" s="2"/>
      <x:c r="D9" s="2" t="str">
        <x:v>Tuần 1 chạy đúng plan. Review cuối tuần để chọn hướng tuần 2.</x:v>
      </x:c>
      <x:c r="E9" s="2"/>
      <x:c r="F9" s="2"/>
      <x:c r="G9" s="2"/>
      <x:c r="H9" s="2"/>
      <x:c r="I9" s="2"/>
      <x:c r="J9" s="2"/>
    </x:row>
    <x:row r="10" ht="35" customHeight="1">
      <x:c r="A10" s="15" t="str">
        <x:v>Search tùy chọn tối đa</x:v>
      </x:c>
      <x:c r="B10" s="7" t="n">
        <x:v>500000</x:v>
      </x:c>
      <x:c r="C10" s="2"/>
      <x:c r="D10" s="2" t="str">
        <x:v>Bảo đổi đúng đoạn yếu, giữ phần hiệu quả, trong trần được duyệt.</x:v>
      </x:c>
      <x:c r="E10" s="2"/>
      <x:c r="F10" s="2"/>
      <x:c r="G10" s="2"/>
      <x:c r="H10" s="2"/>
      <x:c r="I10" s="2"/>
      <x:c r="J10" s="2"/>
    </x:row>
    <x:row r="11" ht="35" customHeight="1">
      <x:c r="A11" s="15" t="str">
        <x:v>Tổng theo cơ cấu</x:v>
      </x:c>
      <x:c r="B11" s="8" t="n">
        <x:f>SUM(B7,B9:B10)</x:f>
        <x:v>11700000</x:v>
      </x:c>
      <x:c r="C11" s="2"/>
      <x:c r="D11" s="2" t="str">
        <x:v>Lead đã xác minh là tín hiệu bổ sung khi đánh giá đầu tư.</x:v>
      </x:c>
      <x:c r="E11" s="2"/>
      <x:c r="F11" s="2"/>
      <x:c r="G11" s="2"/>
      <x:c r="H11" s="2"/>
      <x:c r="I11" s="2"/>
      <x:c r="J11" s="2"/>
    </x:row>
    <x:row r="12" ht="25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</x:row>
    <x:row r="13" ht="25" customHeight="1">
      <x:c r="A13" s="9" t="str">
        <x:v>Kết quả theo tuần và kênh</x:v>
      </x:c>
      <x:c r="B13" s="2"/>
      <x:c r="C13" s="2"/>
      <x:c r="D13" s="2"/>
      <x:c r="E13" s="2"/>
      <x:c r="F13" s="2"/>
      <x:c r="G13" s="2"/>
      <x:c r="H13" s="2"/>
      <x:c r="I13" s="2"/>
      <x:c r="J13" s="2"/>
    </x:row>
    <x:row r="14" ht="46" customHeight="1">
      <x:c r="A14" s="28" t="str">
        <x:v>Tuần</x:v>
      </x:c>
      <x:c r="B14" s="28" t="str">
        <x:v>Kênh</x:v>
      </x:c>
      <x:c r="C14" s="28" t="str">
        <x:v>Chi dashboard</x:v>
      </x:c>
      <x:c r="D14" s="28" t="str">
        <x:v>Hiển thị</x:v>
      </x:c>
      <x:c r="E14" s="28" t="str">
        <x:v>Lượt click</x:v>
      </x:c>
      <x:c r="F14" s="28" t="str">
        <x:v>CTR</x:v>
      </x:c>
      <x:c r="G14" s="28" t="str">
        <x:v>Phiên tương tác</x:v>
      </x:c>
      <x:c r="H14" s="28" t="str">
        <x:v>Lead thô</x:v>
      </x:c>
      <x:c r="I14" s="28" t="str">
        <x:v>Lead xác minh</x:v>
      </x:c>
      <x:c r="J14" s="28" t="str">
        <x:v>Lead hợp lệ / thô</x:v>
      </x:c>
    </x:row>
    <x:row r="15" ht="25" customHeight="1">
      <x:c r="A15" s="2" t="n">
        <x:v>1</x:v>
      </x:c>
      <x:c r="B15" s="2" t="str">
        <x:v>LinkedIn</x:v>
      </x:c>
      <x:c r="C15" s="10" t="str">
        <x:f>IF(AND(COUNTIFS('Nhat ky'!$C$8:$C$37,$A15,'Nhat ky'!$D$8:$D$37,$B15,'Nhat ky'!$E$8:$E$37,"&lt;&gt;")&gt;0,COUNTIFS('Nhat ky'!$C$8:$C$37,$A15,'Nhat ky'!$D$8:$D$37,$B15,'Nhat ky'!$E$8:$E$37,"&lt;&gt;",'Nhat ky'!$H$8:$H$37,"&gt;=0",'Nhat ky'!$H$8:$H$37,"&lt;&gt;")=COUNTIFS('Nhat ky'!$C$8:$C$37,$A15,'Nhat ky'!$D$8:$D$37,$B15,'Nhat ky'!$E$8:$E$37,"&lt;&gt;")),SUMIFS('Nhat ky'!$H$8:$H$37,'Nhat ky'!$C$8:$C$37,$A15,'Nhat ky'!$D$8:$D$37,$B15,'Nhat ky'!$E$8:$E$37,"&lt;&gt;"),"")</x:f>
      </x:c>
      <x:c r="D15" s="10" t="str">
        <x:f>IF(AND(COUNTIFS('Nhat ky'!$C$8:$C$37,$A15,'Nhat ky'!$D$8:$D$37,$B15,'Nhat ky'!$E$8:$E$37,"&lt;&gt;")&gt;0,COUNTIFS('Nhat ky'!$C$8:$C$37,$A15,'Nhat ky'!$D$8:$D$37,$B15,'Nhat ky'!$E$8:$E$37,"&lt;&gt;",'Nhat ky'!$I$8:$I$37,"&gt;=0",'Nhat ky'!$I$8:$I$37,"&lt;&gt;")=COUNTIFS('Nhat ky'!$C$8:$C$37,$A15,'Nhat ky'!$D$8:$D$37,$B15,'Nhat ky'!$E$8:$E$37,"&lt;&gt;")),SUMIFS('Nhat ky'!$I$8:$I$37,'Nhat ky'!$C$8:$C$37,$A15,'Nhat ky'!$D$8:$D$37,$B15,'Nhat ky'!$E$8:$E$37,"&lt;&gt;"),"")</x:f>
      </x:c>
      <x:c r="E15" s="10" t="str">
        <x:f>IF(AND(COUNTIFS('Nhat ky'!$C$8:$C$37,$A15,'Nhat ky'!$D$8:$D$37,$B15,'Nhat ky'!$E$8:$E$37,"&lt;&gt;")&gt;0,COUNTIFS('Nhat ky'!$C$8:$C$37,$A15,'Nhat ky'!$D$8:$D$37,$B15,'Nhat ky'!$E$8:$E$37,"&lt;&gt;",'Nhat ky'!$K$8:$K$37,"&gt;=0",'Nhat ky'!$K$8:$K$37,"&lt;&gt;")=COUNTIFS('Nhat ky'!$C$8:$C$37,$A15,'Nhat ky'!$D$8:$D$37,$B15,'Nhat ky'!$E$8:$E$37,"&lt;&gt;")),SUMIFS('Nhat ky'!$K$8:$K$37,'Nhat ky'!$C$8:$C$37,$A15,'Nhat ky'!$D$8:$D$37,$B15,'Nhat ky'!$E$8:$E$37,"&lt;&gt;"),"")</x:f>
      </x:c>
      <x:c r="F15" s="11" t="str">
        <x:f>IF(COUNT(D15,E15)=2,IF(D15&gt;0,E15/D15,""),"")</x:f>
      </x:c>
      <x:c r="G15" s="10" t="str">
        <x:f>IF(AND(COUNTIFS('Nhat ky'!$C$8:$C$37,$A15,'Nhat ky'!$D$8:$D$37,$B15,'Nhat ky'!$E$8:$E$37,"&lt;&gt;")&gt;0,COUNTIFS('Nhat ky'!$C$8:$C$37,$A15,'Nhat ky'!$D$8:$D$37,$B15,'Nhat ky'!$E$8:$E$37,"&lt;&gt;",'Nhat ky'!$M$8:$M$37,"&gt;=0",'Nhat ky'!$M$8:$M$37,"&lt;&gt;")=COUNTIFS('Nhat ky'!$C$8:$C$37,$A15,'Nhat ky'!$D$8:$D$37,$B15,'Nhat ky'!$E$8:$E$37,"&lt;&gt;")),SUMIFS('Nhat ky'!$M$8:$M$37,'Nhat ky'!$C$8:$C$37,$A15,'Nhat ky'!$D$8:$D$37,$B15,'Nhat ky'!$E$8:$E$37,"&lt;&gt;"),"")</x:f>
      </x:c>
      <x:c r="H15" s="10" t="str">
        <x:f>IF(AND(COUNTIFS('Nhat ky'!$C$8:$C$37,$A15,'Nhat ky'!$D$8:$D$37,$B15,'Nhat ky'!$E$8:$E$37,"&lt;&gt;")&gt;0,COUNTIFS('Nhat ky'!$C$8:$C$37,$A15,'Nhat ky'!$D$8:$D$37,$B15,'Nhat ky'!$E$8:$E$37,"&lt;&gt;",'Nhat ky'!$N$8:$N$37,"&gt;=0",'Nhat ky'!$N$8:$N$37,"&lt;&gt;")=COUNTIFS('Nhat ky'!$C$8:$C$37,$A15,'Nhat ky'!$D$8:$D$37,$B15,'Nhat ky'!$E$8:$E$37,"&lt;&gt;")),SUMIFS('Nhat ky'!$N$8:$N$37,'Nhat ky'!$C$8:$C$37,$A15,'Nhat ky'!$D$8:$D$37,$B15,'Nhat ky'!$E$8:$E$37,"&lt;&gt;"),"")</x:f>
      </x:c>
      <x:c r="I15" s="10" t="str">
        <x:f>IF(AND(COUNTIFS('Nhat ky'!$C$8:$C$37,$A15,'Nhat ky'!$D$8:$D$37,$B15,'Nhat ky'!$E$8:$E$37,"&lt;&gt;")&gt;0,COUNTIFS('Nhat ky'!$C$8:$C$37,$A15,'Nhat ky'!$D$8:$D$37,$B15,'Nhat ky'!$E$8:$E$37,"&lt;&gt;",'Nhat ky'!$O$8:$O$37,"&gt;=0",'Nhat ky'!$O$8:$O$37,"&lt;&gt;")=COUNTIFS('Nhat ky'!$C$8:$C$37,$A15,'Nhat ky'!$D$8:$D$37,$B15,'Nhat ky'!$E$8:$E$37,"&lt;&gt;")),SUMIFS('Nhat ky'!$O$8:$O$37,'Nhat ky'!$C$8:$C$37,$A15,'Nhat ky'!$D$8:$D$37,$B15,'Nhat ky'!$E$8:$E$37,"&lt;&gt;"),"")</x:f>
      </x:c>
      <x:c r="J15" s="11" t="str">
        <x:f>IF(COUNT(H15,I15)=2,IF(H15&gt;0,I15/H15,""),"")</x:f>
      </x:c>
    </x:row>
    <x:row r="16" ht="25" customHeight="1">
      <x:c r="A16" s="2" t="n">
        <x:v>1</x:v>
      </x:c>
      <x:c r="B16" s="2" t="str">
        <x:v>Search</x:v>
      </x:c>
      <x:c r="C16" s="10" t="str">
        <x:f>IF(AND(COUNTIFS('Nhat ky'!$C$8:$C$37,$A16,'Nhat ky'!$D$8:$D$37,$B16,'Nhat ky'!$E$8:$E$37,"&lt;&gt;")&gt;0,COUNTIFS('Nhat ky'!$C$8:$C$37,$A16,'Nhat ky'!$D$8:$D$37,$B16,'Nhat ky'!$E$8:$E$37,"&lt;&gt;",'Nhat ky'!$H$8:$H$37,"&gt;=0",'Nhat ky'!$H$8:$H$37,"&lt;&gt;")=COUNTIFS('Nhat ky'!$C$8:$C$37,$A16,'Nhat ky'!$D$8:$D$37,$B16,'Nhat ky'!$E$8:$E$37,"&lt;&gt;")),SUMIFS('Nhat ky'!$H$8:$H$37,'Nhat ky'!$C$8:$C$37,$A16,'Nhat ky'!$D$8:$D$37,$B16,'Nhat ky'!$E$8:$E$37,"&lt;&gt;"),"")</x:f>
      </x:c>
      <x:c r="D16" s="10" t="str">
        <x:f>IF(AND(COUNTIFS('Nhat ky'!$C$8:$C$37,$A16,'Nhat ky'!$D$8:$D$37,$B16,'Nhat ky'!$E$8:$E$37,"&lt;&gt;")&gt;0,COUNTIFS('Nhat ky'!$C$8:$C$37,$A16,'Nhat ky'!$D$8:$D$37,$B16,'Nhat ky'!$E$8:$E$37,"&lt;&gt;",'Nhat ky'!$I$8:$I$37,"&gt;=0",'Nhat ky'!$I$8:$I$37,"&lt;&gt;")=COUNTIFS('Nhat ky'!$C$8:$C$37,$A16,'Nhat ky'!$D$8:$D$37,$B16,'Nhat ky'!$E$8:$E$37,"&lt;&gt;")),SUMIFS('Nhat ky'!$I$8:$I$37,'Nhat ky'!$C$8:$C$37,$A16,'Nhat ky'!$D$8:$D$37,$B16,'Nhat ky'!$E$8:$E$37,"&lt;&gt;"),"")</x:f>
      </x:c>
      <x:c r="E16" s="10" t="str">
        <x:f>IF(AND(COUNTIFS('Nhat ky'!$C$8:$C$37,$A16,'Nhat ky'!$D$8:$D$37,$B16,'Nhat ky'!$E$8:$E$37,"&lt;&gt;")&gt;0,COUNTIFS('Nhat ky'!$C$8:$C$37,$A16,'Nhat ky'!$D$8:$D$37,$B16,'Nhat ky'!$E$8:$E$37,"&lt;&gt;",'Nhat ky'!$K$8:$K$37,"&gt;=0",'Nhat ky'!$K$8:$K$37,"&lt;&gt;")=COUNTIFS('Nhat ky'!$C$8:$C$37,$A16,'Nhat ky'!$D$8:$D$37,$B16,'Nhat ky'!$E$8:$E$37,"&lt;&gt;")),SUMIFS('Nhat ky'!$K$8:$K$37,'Nhat ky'!$C$8:$C$37,$A16,'Nhat ky'!$D$8:$D$37,$B16,'Nhat ky'!$E$8:$E$37,"&lt;&gt;"),"")</x:f>
      </x:c>
      <x:c r="F16" s="11" t="str">
        <x:f>IF(COUNT(D16,E16)=2,IF(D16&gt;0,E16/D16,""),"")</x:f>
      </x:c>
      <x:c r="G16" s="10" t="str">
        <x:f>IF(AND(COUNTIFS('Nhat ky'!$C$8:$C$37,$A16,'Nhat ky'!$D$8:$D$37,$B16,'Nhat ky'!$E$8:$E$37,"&lt;&gt;")&gt;0,COUNTIFS('Nhat ky'!$C$8:$C$37,$A16,'Nhat ky'!$D$8:$D$37,$B16,'Nhat ky'!$E$8:$E$37,"&lt;&gt;",'Nhat ky'!$M$8:$M$37,"&gt;=0",'Nhat ky'!$M$8:$M$37,"&lt;&gt;")=COUNTIFS('Nhat ky'!$C$8:$C$37,$A16,'Nhat ky'!$D$8:$D$37,$B16,'Nhat ky'!$E$8:$E$37,"&lt;&gt;")),SUMIFS('Nhat ky'!$M$8:$M$37,'Nhat ky'!$C$8:$C$37,$A16,'Nhat ky'!$D$8:$D$37,$B16,'Nhat ky'!$E$8:$E$37,"&lt;&gt;"),"")</x:f>
      </x:c>
      <x:c r="H16" s="10" t="str">
        <x:f>IF(AND(COUNTIFS('Nhat ky'!$C$8:$C$37,$A16,'Nhat ky'!$D$8:$D$37,$B16,'Nhat ky'!$E$8:$E$37,"&lt;&gt;")&gt;0,COUNTIFS('Nhat ky'!$C$8:$C$37,$A16,'Nhat ky'!$D$8:$D$37,$B16,'Nhat ky'!$E$8:$E$37,"&lt;&gt;",'Nhat ky'!$N$8:$N$37,"&gt;=0",'Nhat ky'!$N$8:$N$37,"&lt;&gt;")=COUNTIFS('Nhat ky'!$C$8:$C$37,$A16,'Nhat ky'!$D$8:$D$37,$B16,'Nhat ky'!$E$8:$E$37,"&lt;&gt;")),SUMIFS('Nhat ky'!$N$8:$N$37,'Nhat ky'!$C$8:$C$37,$A16,'Nhat ky'!$D$8:$D$37,$B16,'Nhat ky'!$E$8:$E$37,"&lt;&gt;"),"")</x:f>
      </x:c>
      <x:c r="I16" s="10" t="str">
        <x:f>IF(AND(COUNTIFS('Nhat ky'!$C$8:$C$37,$A16,'Nhat ky'!$D$8:$D$37,$B16,'Nhat ky'!$E$8:$E$37,"&lt;&gt;")&gt;0,COUNTIFS('Nhat ky'!$C$8:$C$37,$A16,'Nhat ky'!$D$8:$D$37,$B16,'Nhat ky'!$E$8:$E$37,"&lt;&gt;",'Nhat ky'!$O$8:$O$37,"&gt;=0",'Nhat ky'!$O$8:$O$37,"&lt;&gt;")=COUNTIFS('Nhat ky'!$C$8:$C$37,$A16,'Nhat ky'!$D$8:$D$37,$B16,'Nhat ky'!$E$8:$E$37,"&lt;&gt;")),SUMIFS('Nhat ky'!$O$8:$O$37,'Nhat ky'!$C$8:$C$37,$A16,'Nhat ky'!$D$8:$D$37,$B16,'Nhat ky'!$E$8:$E$37,"&lt;&gt;"),"")</x:f>
      </x:c>
      <x:c r="J16" s="11" t="str">
        <x:f>IF(COUNT(H16,I16)=2,IF(H16&gt;0,I16/H16,""),"")</x:f>
      </x:c>
    </x:row>
    <x:row r="17" ht="25" customHeight="1">
      <x:c r="A17" s="2" t="n">
        <x:v>2</x:v>
      </x:c>
      <x:c r="B17" s="2" t="str">
        <x:v>LinkedIn</x:v>
      </x:c>
      <x:c r="C17" s="10" t="str">
        <x:f>IF(AND(COUNTIFS('Nhat ky'!$C$8:$C$37,$A17,'Nhat ky'!$D$8:$D$37,$B17,'Nhat ky'!$E$8:$E$37,"&lt;&gt;")&gt;0,COUNTIFS('Nhat ky'!$C$8:$C$37,$A17,'Nhat ky'!$D$8:$D$37,$B17,'Nhat ky'!$E$8:$E$37,"&lt;&gt;",'Nhat ky'!$H$8:$H$37,"&gt;=0",'Nhat ky'!$H$8:$H$37,"&lt;&gt;")=COUNTIFS('Nhat ky'!$C$8:$C$37,$A17,'Nhat ky'!$D$8:$D$37,$B17,'Nhat ky'!$E$8:$E$37,"&lt;&gt;")),SUMIFS('Nhat ky'!$H$8:$H$37,'Nhat ky'!$C$8:$C$37,$A17,'Nhat ky'!$D$8:$D$37,$B17,'Nhat ky'!$E$8:$E$37,"&lt;&gt;"),"")</x:f>
      </x:c>
      <x:c r="D17" s="10" t="str">
        <x:f>IF(AND(COUNTIFS('Nhat ky'!$C$8:$C$37,$A17,'Nhat ky'!$D$8:$D$37,$B17,'Nhat ky'!$E$8:$E$37,"&lt;&gt;")&gt;0,COUNTIFS('Nhat ky'!$C$8:$C$37,$A17,'Nhat ky'!$D$8:$D$37,$B17,'Nhat ky'!$E$8:$E$37,"&lt;&gt;",'Nhat ky'!$I$8:$I$37,"&gt;=0",'Nhat ky'!$I$8:$I$37,"&lt;&gt;")=COUNTIFS('Nhat ky'!$C$8:$C$37,$A17,'Nhat ky'!$D$8:$D$37,$B17,'Nhat ky'!$E$8:$E$37,"&lt;&gt;")),SUMIFS('Nhat ky'!$I$8:$I$37,'Nhat ky'!$C$8:$C$37,$A17,'Nhat ky'!$D$8:$D$37,$B17,'Nhat ky'!$E$8:$E$37,"&lt;&gt;"),"")</x:f>
      </x:c>
      <x:c r="E17" s="10" t="str">
        <x:f>IF(AND(COUNTIFS('Nhat ky'!$C$8:$C$37,$A17,'Nhat ky'!$D$8:$D$37,$B17,'Nhat ky'!$E$8:$E$37,"&lt;&gt;")&gt;0,COUNTIFS('Nhat ky'!$C$8:$C$37,$A17,'Nhat ky'!$D$8:$D$37,$B17,'Nhat ky'!$E$8:$E$37,"&lt;&gt;",'Nhat ky'!$K$8:$K$37,"&gt;=0",'Nhat ky'!$K$8:$K$37,"&lt;&gt;")=COUNTIFS('Nhat ky'!$C$8:$C$37,$A17,'Nhat ky'!$D$8:$D$37,$B17,'Nhat ky'!$E$8:$E$37,"&lt;&gt;")),SUMIFS('Nhat ky'!$K$8:$K$37,'Nhat ky'!$C$8:$C$37,$A17,'Nhat ky'!$D$8:$D$37,$B17,'Nhat ky'!$E$8:$E$37,"&lt;&gt;"),"")</x:f>
      </x:c>
      <x:c r="F17" s="11" t="str">
        <x:f>IF(COUNT(D17,E17)=2,IF(D17&gt;0,E17/D17,""),"")</x:f>
      </x:c>
      <x:c r="G17" s="10" t="str">
        <x:f>IF(AND(COUNTIFS('Nhat ky'!$C$8:$C$37,$A17,'Nhat ky'!$D$8:$D$37,$B17,'Nhat ky'!$E$8:$E$37,"&lt;&gt;")&gt;0,COUNTIFS('Nhat ky'!$C$8:$C$37,$A17,'Nhat ky'!$D$8:$D$37,$B17,'Nhat ky'!$E$8:$E$37,"&lt;&gt;",'Nhat ky'!$M$8:$M$37,"&gt;=0",'Nhat ky'!$M$8:$M$37,"&lt;&gt;")=COUNTIFS('Nhat ky'!$C$8:$C$37,$A17,'Nhat ky'!$D$8:$D$37,$B17,'Nhat ky'!$E$8:$E$37,"&lt;&gt;")),SUMIFS('Nhat ky'!$M$8:$M$37,'Nhat ky'!$C$8:$C$37,$A17,'Nhat ky'!$D$8:$D$37,$B17,'Nhat ky'!$E$8:$E$37,"&lt;&gt;"),"")</x:f>
      </x:c>
      <x:c r="H17" s="10" t="str">
        <x:f>IF(AND(COUNTIFS('Nhat ky'!$C$8:$C$37,$A17,'Nhat ky'!$D$8:$D$37,$B17,'Nhat ky'!$E$8:$E$37,"&lt;&gt;")&gt;0,COUNTIFS('Nhat ky'!$C$8:$C$37,$A17,'Nhat ky'!$D$8:$D$37,$B17,'Nhat ky'!$E$8:$E$37,"&lt;&gt;",'Nhat ky'!$N$8:$N$37,"&gt;=0",'Nhat ky'!$N$8:$N$37,"&lt;&gt;")=COUNTIFS('Nhat ky'!$C$8:$C$37,$A17,'Nhat ky'!$D$8:$D$37,$B17,'Nhat ky'!$E$8:$E$37,"&lt;&gt;")),SUMIFS('Nhat ky'!$N$8:$N$37,'Nhat ky'!$C$8:$C$37,$A17,'Nhat ky'!$D$8:$D$37,$B17,'Nhat ky'!$E$8:$E$37,"&lt;&gt;"),"")</x:f>
      </x:c>
      <x:c r="I17" s="10" t="str">
        <x:f>IF(AND(COUNTIFS('Nhat ky'!$C$8:$C$37,$A17,'Nhat ky'!$D$8:$D$37,$B17,'Nhat ky'!$E$8:$E$37,"&lt;&gt;")&gt;0,COUNTIFS('Nhat ky'!$C$8:$C$37,$A17,'Nhat ky'!$D$8:$D$37,$B17,'Nhat ky'!$E$8:$E$37,"&lt;&gt;",'Nhat ky'!$O$8:$O$37,"&gt;=0",'Nhat ky'!$O$8:$O$37,"&lt;&gt;")=COUNTIFS('Nhat ky'!$C$8:$C$37,$A17,'Nhat ky'!$D$8:$D$37,$B17,'Nhat ky'!$E$8:$E$37,"&lt;&gt;")),SUMIFS('Nhat ky'!$O$8:$O$37,'Nhat ky'!$C$8:$C$37,$A17,'Nhat ky'!$D$8:$D$37,$B17,'Nhat ky'!$E$8:$E$37,"&lt;&gt;"),"")</x:f>
      </x:c>
      <x:c r="J17" s="11" t="str">
        <x:f>IF(COUNT(H17,I17)=2,IF(H17&gt;0,I17/H17,""),"")</x:f>
      </x:c>
    </x:row>
    <x:row r="18" ht="25" customHeight="1">
      <x:c r="A18" s="2" t="n">
        <x:v>2</x:v>
      </x:c>
      <x:c r="B18" s="2" t="str">
        <x:v>Search</x:v>
      </x:c>
      <x:c r="C18" s="10" t="str">
        <x:f>IF(AND(COUNTIFS('Nhat ky'!$C$8:$C$37,$A18,'Nhat ky'!$D$8:$D$37,$B18,'Nhat ky'!$E$8:$E$37,"&lt;&gt;")&gt;0,COUNTIFS('Nhat ky'!$C$8:$C$37,$A18,'Nhat ky'!$D$8:$D$37,$B18,'Nhat ky'!$E$8:$E$37,"&lt;&gt;",'Nhat ky'!$H$8:$H$37,"&gt;=0",'Nhat ky'!$H$8:$H$37,"&lt;&gt;")=COUNTIFS('Nhat ky'!$C$8:$C$37,$A18,'Nhat ky'!$D$8:$D$37,$B18,'Nhat ky'!$E$8:$E$37,"&lt;&gt;")),SUMIFS('Nhat ky'!$H$8:$H$37,'Nhat ky'!$C$8:$C$37,$A18,'Nhat ky'!$D$8:$D$37,$B18,'Nhat ky'!$E$8:$E$37,"&lt;&gt;"),"")</x:f>
      </x:c>
      <x:c r="D18" s="10" t="str">
        <x:f>IF(AND(COUNTIFS('Nhat ky'!$C$8:$C$37,$A18,'Nhat ky'!$D$8:$D$37,$B18,'Nhat ky'!$E$8:$E$37,"&lt;&gt;")&gt;0,COUNTIFS('Nhat ky'!$C$8:$C$37,$A18,'Nhat ky'!$D$8:$D$37,$B18,'Nhat ky'!$E$8:$E$37,"&lt;&gt;",'Nhat ky'!$I$8:$I$37,"&gt;=0",'Nhat ky'!$I$8:$I$37,"&lt;&gt;")=COUNTIFS('Nhat ky'!$C$8:$C$37,$A18,'Nhat ky'!$D$8:$D$37,$B18,'Nhat ky'!$E$8:$E$37,"&lt;&gt;")),SUMIFS('Nhat ky'!$I$8:$I$37,'Nhat ky'!$C$8:$C$37,$A18,'Nhat ky'!$D$8:$D$37,$B18,'Nhat ky'!$E$8:$E$37,"&lt;&gt;"),"")</x:f>
      </x:c>
      <x:c r="E18" s="10" t="str">
        <x:f>IF(AND(COUNTIFS('Nhat ky'!$C$8:$C$37,$A18,'Nhat ky'!$D$8:$D$37,$B18,'Nhat ky'!$E$8:$E$37,"&lt;&gt;")&gt;0,COUNTIFS('Nhat ky'!$C$8:$C$37,$A18,'Nhat ky'!$D$8:$D$37,$B18,'Nhat ky'!$E$8:$E$37,"&lt;&gt;",'Nhat ky'!$K$8:$K$37,"&gt;=0",'Nhat ky'!$K$8:$K$37,"&lt;&gt;")=COUNTIFS('Nhat ky'!$C$8:$C$37,$A18,'Nhat ky'!$D$8:$D$37,$B18,'Nhat ky'!$E$8:$E$37,"&lt;&gt;")),SUMIFS('Nhat ky'!$K$8:$K$37,'Nhat ky'!$C$8:$C$37,$A18,'Nhat ky'!$D$8:$D$37,$B18,'Nhat ky'!$E$8:$E$37,"&lt;&gt;"),"")</x:f>
      </x:c>
      <x:c r="F18" s="11" t="str">
        <x:f>IF(COUNT(D18,E18)=2,IF(D18&gt;0,E18/D18,""),"")</x:f>
      </x:c>
      <x:c r="G18" s="10" t="str">
        <x:f>IF(AND(COUNTIFS('Nhat ky'!$C$8:$C$37,$A18,'Nhat ky'!$D$8:$D$37,$B18,'Nhat ky'!$E$8:$E$37,"&lt;&gt;")&gt;0,COUNTIFS('Nhat ky'!$C$8:$C$37,$A18,'Nhat ky'!$D$8:$D$37,$B18,'Nhat ky'!$E$8:$E$37,"&lt;&gt;",'Nhat ky'!$M$8:$M$37,"&gt;=0",'Nhat ky'!$M$8:$M$37,"&lt;&gt;")=COUNTIFS('Nhat ky'!$C$8:$C$37,$A18,'Nhat ky'!$D$8:$D$37,$B18,'Nhat ky'!$E$8:$E$37,"&lt;&gt;")),SUMIFS('Nhat ky'!$M$8:$M$37,'Nhat ky'!$C$8:$C$37,$A18,'Nhat ky'!$D$8:$D$37,$B18,'Nhat ky'!$E$8:$E$37,"&lt;&gt;"),"")</x:f>
      </x:c>
      <x:c r="H18" s="10" t="str">
        <x:f>IF(AND(COUNTIFS('Nhat ky'!$C$8:$C$37,$A18,'Nhat ky'!$D$8:$D$37,$B18,'Nhat ky'!$E$8:$E$37,"&lt;&gt;")&gt;0,COUNTIFS('Nhat ky'!$C$8:$C$37,$A18,'Nhat ky'!$D$8:$D$37,$B18,'Nhat ky'!$E$8:$E$37,"&lt;&gt;",'Nhat ky'!$N$8:$N$37,"&gt;=0",'Nhat ky'!$N$8:$N$37,"&lt;&gt;")=COUNTIFS('Nhat ky'!$C$8:$C$37,$A18,'Nhat ky'!$D$8:$D$37,$B18,'Nhat ky'!$E$8:$E$37,"&lt;&gt;")),SUMIFS('Nhat ky'!$N$8:$N$37,'Nhat ky'!$C$8:$C$37,$A18,'Nhat ky'!$D$8:$D$37,$B18,'Nhat ky'!$E$8:$E$37,"&lt;&gt;"),"")</x:f>
      </x:c>
      <x:c r="I18" s="10" t="str">
        <x:f>IF(AND(COUNTIFS('Nhat ky'!$C$8:$C$37,$A18,'Nhat ky'!$D$8:$D$37,$B18,'Nhat ky'!$E$8:$E$37,"&lt;&gt;")&gt;0,COUNTIFS('Nhat ky'!$C$8:$C$37,$A18,'Nhat ky'!$D$8:$D$37,$B18,'Nhat ky'!$E$8:$E$37,"&lt;&gt;",'Nhat ky'!$O$8:$O$37,"&gt;=0",'Nhat ky'!$O$8:$O$37,"&lt;&gt;")=COUNTIFS('Nhat ky'!$C$8:$C$37,$A18,'Nhat ky'!$D$8:$D$37,$B18,'Nhat ky'!$E$8:$E$37,"&lt;&gt;")),SUMIFS('Nhat ky'!$O$8:$O$37,'Nhat ky'!$C$8:$C$37,$A18,'Nhat ky'!$D$8:$D$37,$B18,'Nhat ky'!$E$8:$E$37,"&lt;&gt;"),"")</x:f>
      </x:c>
      <x:c r="J18" s="11" t="str">
        <x:f>IF(COUNT(H18,I18)=2,IF(H18&gt;0,I18/H18,""),"")</x:f>
      </x:c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2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 ht="45" customHeight="1">
      <x:c r="A21" s="28" t="str">
        <x:v>Tuần</x:v>
      </x:c>
      <x:c r="B21" s="28" t="str">
        <x:v>Đúng tệp: nhận định</x:v>
      </x:c>
      <x:c r="C21" s="28" t="str">
        <x:v>Phân phối / quan tâm</x:v>
      </x:c>
      <x:c r="D21" s="28" t="str">
        <x:v>Hành vi đi tiếp</x:v>
      </x:c>
      <x:c r="E21" s="28" t="str">
        <x:v>Chi phí / mức chi</x:v>
      </x:c>
      <x:c r="F21" s="28" t="str">
        <x:v>Hướng tuần tiếp</x:v>
      </x:c>
      <x:c r="G21" s="28" t="str">
        <x:v>Lý do từ dữ liệu</x:v>
      </x:c>
      <x:c r="H21" s="2"/>
      <x:c r="I21" s="2"/>
      <x:c r="J21" s="2"/>
    </x:row>
    <x:row r="22" ht="70" customHeight="1">
      <x:c r="A22" s="2" t="n">
        <x:v>1</x:v>
      </x:c>
      <x:c r="B22" s="13"/>
      <x:c r="C22" s="13"/>
      <x:c r="D22" s="13"/>
      <x:c r="E22" s="13"/>
      <x:c r="F22" s="13"/>
      <x:c r="G22" s="13"/>
      <x:c r="H22" s="2"/>
      <x:c r="I22" s="2"/>
      <x:c r="J22" s="2"/>
    </x:row>
    <x:row r="23" ht="70" customHeight="1">
      <x:c r="A23" s="2" t="n">
        <x:v>2</x:v>
      </x:c>
      <x:c r="B23" s="13"/>
      <x:c r="C23" s="13"/>
      <x:c r="D23" s="13"/>
      <x:c r="E23" s="13"/>
      <x:c r="F23" s="13"/>
      <x:c r="G23" s="13"/>
      <x:c r="H23" s="2"/>
      <x:c r="I23" s="2"/>
      <x:c r="J23" s="2"/>
    </x:row>
    <x:row r="24" ht="2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 ht="25" customHeight="1">
      <x:c r="A25" s="14" t="str">
        <x:v>Ô vàng: số đề xuất hoặc nhận định Bảo cập nhật. Số thực chạy nhập ở Nhat ky.</x:v>
      </x:c>
      <x:c r="B25" s="2"/>
      <x:c r="C25" s="2"/>
      <x:c r="D25" s="2"/>
      <x:c r="E25" s="2"/>
      <x:c r="F25" s="2"/>
      <x:c r="G25" s="2"/>
      <x:c r="H25" s="2"/>
      <x:c r="I25" s="2"/>
      <x:c r="J25" s="2"/>
    </x:row>
    <x:row r="26" ht="25" customHeight="1">
      <x:c r="A26" s="14" t="str">
        <x:v>Nguồn ngân sách: phương án Bảo gửi Vy ngày 07/10/2026, mục Ngân sách chưa thuế.</x:v>
      </x:c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25" customHeight="1">
      <x:c r="A27" s="14" t="str">
        <x:v>Bảng tuần tổng hợp các campaign cùng kỳ; reach và frequency đọc theo từng campaign.</x:v>
      </x:c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25" customHeight="1">
      <x:c r="A28" s="14" t="str">
        <x:v>Giữ cùng định nghĩa click, kỳ đo và nguồn trang đọc khi so sánh. Ô trống là dữ liệu cần bổ sung.</x:v>
      </x:c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</x:sheetData>
  <x:conditionalFormatting sqref="E7:E7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7" topLeftCell="F8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2" hidden="0" customWidth="1"/>
    <x:col min="4" max="4" width="12" hidden="0" customWidth="1"/>
    <x:col min="5" max="5" width="24" hidden="0" customWidth="1"/>
    <x:col min="6" max="6" width="20" hidden="0" customWidth="1"/>
    <x:col min="7" max="7" width="20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30" hidden="0" customWidth="1"/>
    <x:col min="17" max="17" width="30" hidden="0" customWidth="1"/>
    <x:col min="18" max="18" width="30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25" customHeight="1">
      <x:c r="A2" s="3" t="str">
        <x:v>Nhật ký dữ liệu theo kỳ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25" customHeight="1">
      <x:c r="A3" s="14" t="str">
        <x:v>Nguồn: chi và phân phối từ dashboard quảng cáo; phiên từ báo cáo trang đọc; lead xác minh từ pipeline công ty.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25" customHeight="1">
      <x:c r="A4" s="14" t="str">
        <x:v>Một dòng / campaign / tuần / kỳ đo. Cập nhật số lũy kế cùng kỳ vào dòng đó; giữ các kỳ tách nhau.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</x:row>
    <x:row r="5" ht="25" customHeight="1">
      <x:c r="A5" s="14" t="str">
        <x:v>CTR = click / hiển thị; engagement rate = tương tác / hiển thị LinkedIn; frequency = hiển thị / reach cùng campaign.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</x:row>
    <x:row r="6" ht="25" customHeight="1">
      <x:c r="A6" s="14" t="str">
        <x:v>CPM = chi / hiển thị × 1.000; CPC = chi / click. Lead hợp lệ / thô = lead xác minh / lead thô.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</x:row>
    <x:row r="7" ht="45" customHeight="1">
      <x:c r="A7" s="28" t="str">
        <x:v>Từ ngày</x:v>
      </x:c>
      <x:c r="B7" s="28" t="str">
        <x:v>Đến ngày</x:v>
      </x:c>
      <x:c r="C7" s="28" t="str">
        <x:v>Tuần</x:v>
      </x:c>
      <x:c r="D7" s="28" t="str">
        <x:v>Kênh</x:v>
      </x:c>
      <x:c r="E7" s="28" t="str">
        <x:v>Campaign</x:v>
      </x:c>
      <x:c r="F7" s="28" t="str">
        <x:v>Nhóm</x:v>
      </x:c>
      <x:c r="G7" s="28" t="str">
        <x:v>Ngôn ngữ</x:v>
      </x:c>
      <x:c r="H7" s="28" t="str">
        <x:v>Chi dashboard (VND)</x:v>
      </x:c>
      <x:c r="I7" s="28" t="str">
        <x:v>Hiển thị</x:v>
      </x:c>
      <x:c r="J7" s="28" t="str">
        <x:v>Reach</x:v>
      </x:c>
      <x:c r="K7" s="28" t="str">
        <x:v>Click</x:v>
      </x:c>
      <x:c r="L7" s="28" t="str">
        <x:v>Tương tác LinkedIn</x:v>
      </x:c>
      <x:c r="M7" s="28" t="str">
        <x:v>Phiên có tương tác</x:v>
      </x:c>
      <x:c r="N7" s="28" t="str">
        <x:v>Lead thô</x:v>
      </x:c>
      <x:c r="O7" s="28" t="str">
        <x:v>Lead xác minh</x:v>
      </x:c>
      <x:c r="P7" s="28" t="str">
        <x:v>Đúng tệp / search term</x:v>
      </x:c>
      <x:c r="Q7" s="28" t="str">
        <x:v>Nhận định</x:v>
      </x:c>
      <x:c r="R7" s="28" t="str">
        <x:v>Điều chỉnh</x:v>
      </x:c>
      <x:c r="S7" s="28" t="str">
        <x:v>CTR</x:v>
      </x:c>
      <x:c r="T7" s="28" t="str">
        <x:v>Engagement rate</x:v>
      </x:c>
      <x:c r="U7" s="28" t="str">
        <x:v>CPM (VND)</x:v>
      </x:c>
      <x:c r="V7" s="28" t="str">
        <x:v>CPC (VND)</x:v>
      </x:c>
      <x:c r="W7" s="28" t="str">
        <x:v>Frequency</x:v>
      </x:c>
    </x:row>
    <x:row r="8" ht="38" customHeight="1">
      <x:c r="A8" s="17"/>
      <x:c r="B8" s="17"/>
      <x:c r="C8" s="16"/>
      <x:c r="D8" s="16"/>
      <x:c r="E8" s="20"/>
      <x:c r="F8" s="20"/>
      <x:c r="G8" s="20"/>
      <x:c r="H8" s="18"/>
      <x:c r="I8" s="18"/>
      <x:c r="J8" s="18"/>
      <x:c r="K8" s="18"/>
      <x:c r="L8" s="18"/>
      <x:c r="M8" s="18"/>
      <x:c r="N8" s="18"/>
      <x:c r="O8" s="18"/>
      <x:c r="P8" s="20"/>
      <x:c r="Q8" s="20"/>
      <x:c r="R8" s="20"/>
      <x:c r="S8" s="11" t="str">
        <x:f>IF(COUNT(I8,K8)=2,IF(I8&gt;0,K8/I8,""),"")</x:f>
      </x:c>
      <x:c r="T8" s="11" t="str">
        <x:f>IF(D8="LinkedIn",IF(COUNT(I8,L8)=2,IF(I8&gt;0,L8/I8,""),""),"")</x:f>
      </x:c>
      <x:c r="U8" s="10" t="str">
        <x:f>IF(COUNT(H8,I8)=2,IF(I8&gt;0,H8/I8*1000,""),"")</x:f>
      </x:c>
      <x:c r="V8" s="10" t="str">
        <x:f>IF(COUNT(H8,K8)=2,IF(K8&gt;0,H8/K8,""),"")</x:f>
      </x:c>
      <x:c r="W8" s="19" t="str">
        <x:f>IF(D8="LinkedIn",IF(COUNT(I8,J8)=2,IF(J8&gt;0,I8/J8,""),""),"")</x:f>
      </x:c>
    </x:row>
    <x:row r="9" ht="38" customHeight="1">
      <x:c r="A9" s="17"/>
      <x:c r="B9" s="17"/>
      <x:c r="C9" s="16"/>
      <x:c r="D9" s="16"/>
      <x:c r="E9" s="20"/>
      <x:c r="F9" s="20"/>
      <x:c r="G9" s="20"/>
      <x:c r="H9" s="18"/>
      <x:c r="I9" s="18"/>
      <x:c r="J9" s="18"/>
      <x:c r="K9" s="18"/>
      <x:c r="L9" s="18"/>
      <x:c r="M9" s="18"/>
      <x:c r="N9" s="18"/>
      <x:c r="O9" s="18"/>
      <x:c r="P9" s="20"/>
      <x:c r="Q9" s="20"/>
      <x:c r="R9" s="20"/>
      <x:c r="S9" s="11" t="str">
        <x:f>IF(COUNT(I9,K9)=2,IF(I9&gt;0,K9/I9,""),"")</x:f>
      </x:c>
      <x:c r="T9" s="11" t="str">
        <x:f>IF(D9="LinkedIn",IF(COUNT(I9,L9)=2,IF(I9&gt;0,L9/I9,""),""),"")</x:f>
      </x:c>
      <x:c r="U9" s="10" t="str">
        <x:f>IF(COUNT(H9,I9)=2,IF(I9&gt;0,H9/I9*1000,""),"")</x:f>
      </x:c>
      <x:c r="V9" s="10" t="str">
        <x:f>IF(COUNT(H9,K9)=2,IF(K9&gt;0,H9/K9,""),"")</x:f>
      </x:c>
      <x:c r="W9" s="19" t="str">
        <x:f>IF(D9="LinkedIn",IF(COUNT(I9,J9)=2,IF(J9&gt;0,I9/J9,""),""),"")</x:f>
      </x:c>
    </x:row>
    <x:row r="10" ht="38" customHeight="1">
      <x:c r="A10" s="17"/>
      <x:c r="B10" s="17"/>
      <x:c r="C10" s="16"/>
      <x:c r="D10" s="16"/>
      <x:c r="E10" s="20"/>
      <x:c r="F10" s="20"/>
      <x:c r="G10" s="20"/>
      <x:c r="H10" s="18"/>
      <x:c r="I10" s="18"/>
      <x:c r="J10" s="18"/>
      <x:c r="K10" s="18"/>
      <x:c r="L10" s="18"/>
      <x:c r="M10" s="18"/>
      <x:c r="N10" s="18"/>
      <x:c r="O10" s="18"/>
      <x:c r="P10" s="20"/>
      <x:c r="Q10" s="20"/>
      <x:c r="R10" s="20"/>
      <x:c r="S10" s="11" t="str">
        <x:f>IF(COUNT(I10,K10)=2,IF(I10&gt;0,K10/I10,""),"")</x:f>
      </x:c>
      <x:c r="T10" s="11" t="str">
        <x:f>IF(D10="LinkedIn",IF(COUNT(I10,L10)=2,IF(I10&gt;0,L10/I10,""),""),"")</x:f>
      </x:c>
      <x:c r="U10" s="10" t="str">
        <x:f>IF(COUNT(H10,I10)=2,IF(I10&gt;0,H10/I10*1000,""),"")</x:f>
      </x:c>
      <x:c r="V10" s="10" t="str">
        <x:f>IF(COUNT(H10,K10)=2,IF(K10&gt;0,H10/K10,""),"")</x:f>
      </x:c>
      <x:c r="W10" s="19" t="str">
        <x:f>IF(D10="LinkedIn",IF(COUNT(I10,J10)=2,IF(J10&gt;0,I10/J10,""),""),"")</x:f>
      </x:c>
    </x:row>
    <x:row r="11" ht="38" customHeight="1">
      <x:c r="A11" s="17"/>
      <x:c r="B11" s="17"/>
      <x:c r="C11" s="16"/>
      <x:c r="D11" s="16"/>
      <x:c r="E11" s="20"/>
      <x:c r="F11" s="20"/>
      <x:c r="G11" s="20"/>
      <x:c r="H11" s="18"/>
      <x:c r="I11" s="18"/>
      <x:c r="J11" s="18"/>
      <x:c r="K11" s="18"/>
      <x:c r="L11" s="18"/>
      <x:c r="M11" s="18"/>
      <x:c r="N11" s="18"/>
      <x:c r="O11" s="18"/>
      <x:c r="P11" s="20"/>
      <x:c r="Q11" s="20"/>
      <x:c r="R11" s="20"/>
      <x:c r="S11" s="11" t="str">
        <x:f>IF(COUNT(I11,K11)=2,IF(I11&gt;0,K11/I11,""),"")</x:f>
      </x:c>
      <x:c r="T11" s="11" t="str">
        <x:f>IF(D11="LinkedIn",IF(COUNT(I11,L11)=2,IF(I11&gt;0,L11/I11,""),""),"")</x:f>
      </x:c>
      <x:c r="U11" s="10" t="str">
        <x:f>IF(COUNT(H11,I11)=2,IF(I11&gt;0,H11/I11*1000,""),"")</x:f>
      </x:c>
      <x:c r="V11" s="10" t="str">
        <x:f>IF(COUNT(H11,K11)=2,IF(K11&gt;0,H11/K11,""),"")</x:f>
      </x:c>
      <x:c r="W11" s="19" t="str">
        <x:f>IF(D11="LinkedIn",IF(COUNT(I11,J11)=2,IF(J11&gt;0,I11/J11,""),""),"")</x:f>
      </x:c>
    </x:row>
    <x:row r="12" ht="38" customHeight="1">
      <x:c r="A12" s="17"/>
      <x:c r="B12" s="17"/>
      <x:c r="C12" s="16"/>
      <x:c r="D12" s="16"/>
      <x:c r="E12" s="20"/>
      <x:c r="F12" s="20"/>
      <x:c r="G12" s="20"/>
      <x:c r="H12" s="18"/>
      <x:c r="I12" s="18"/>
      <x:c r="J12" s="18"/>
      <x:c r="K12" s="18"/>
      <x:c r="L12" s="18"/>
      <x:c r="M12" s="18"/>
      <x:c r="N12" s="18"/>
      <x:c r="O12" s="18"/>
      <x:c r="P12" s="20"/>
      <x:c r="Q12" s="20"/>
      <x:c r="R12" s="20"/>
      <x:c r="S12" s="11" t="str">
        <x:f>IF(COUNT(I12,K12)=2,IF(I12&gt;0,K12/I12,""),"")</x:f>
      </x:c>
      <x:c r="T12" s="11" t="str">
        <x:f>IF(D12="LinkedIn",IF(COUNT(I12,L12)=2,IF(I12&gt;0,L12/I12,""),""),"")</x:f>
      </x:c>
      <x:c r="U12" s="10" t="str">
        <x:f>IF(COUNT(H12,I12)=2,IF(I12&gt;0,H12/I12*1000,""),"")</x:f>
      </x:c>
      <x:c r="V12" s="10" t="str">
        <x:f>IF(COUNT(H12,K12)=2,IF(K12&gt;0,H12/K12,""),"")</x:f>
      </x:c>
      <x:c r="W12" s="19" t="str">
        <x:f>IF(D12="LinkedIn",IF(COUNT(I12,J12)=2,IF(J12&gt;0,I12/J12,""),""),"")</x:f>
      </x:c>
    </x:row>
    <x:row r="13" ht="38" customHeight="1">
      <x:c r="A13" s="17"/>
      <x:c r="B13" s="17"/>
      <x:c r="C13" s="16"/>
      <x:c r="D13" s="16"/>
      <x:c r="E13" s="20"/>
      <x:c r="F13" s="20"/>
      <x:c r="G13" s="20"/>
      <x:c r="H13" s="18"/>
      <x:c r="I13" s="18"/>
      <x:c r="J13" s="18"/>
      <x:c r="K13" s="18"/>
      <x:c r="L13" s="18"/>
      <x:c r="M13" s="18"/>
      <x:c r="N13" s="18"/>
      <x:c r="O13" s="18"/>
      <x:c r="P13" s="20"/>
      <x:c r="Q13" s="20"/>
      <x:c r="R13" s="20"/>
      <x:c r="S13" s="11" t="str">
        <x:f>IF(COUNT(I13,K13)=2,IF(I13&gt;0,K13/I13,""),"")</x:f>
      </x:c>
      <x:c r="T13" s="11" t="str">
        <x:f>IF(D13="LinkedIn",IF(COUNT(I13,L13)=2,IF(I13&gt;0,L13/I13,""),""),"")</x:f>
      </x:c>
      <x:c r="U13" s="10" t="str">
        <x:f>IF(COUNT(H13,I13)=2,IF(I13&gt;0,H13/I13*1000,""),"")</x:f>
      </x:c>
      <x:c r="V13" s="10" t="str">
        <x:f>IF(COUNT(H13,K13)=2,IF(K13&gt;0,H13/K13,""),"")</x:f>
      </x:c>
      <x:c r="W13" s="19" t="str">
        <x:f>IF(D13="LinkedIn",IF(COUNT(I13,J13)=2,IF(J13&gt;0,I13/J13,""),""),"")</x:f>
      </x:c>
    </x:row>
    <x:row r="14" ht="38" customHeight="1">
      <x:c r="A14" s="17"/>
      <x:c r="B14" s="17"/>
      <x:c r="C14" s="16"/>
      <x:c r="D14" s="16"/>
      <x:c r="E14" s="20"/>
      <x:c r="F14" s="20"/>
      <x:c r="G14" s="20"/>
      <x:c r="H14" s="18"/>
      <x:c r="I14" s="18"/>
      <x:c r="J14" s="18"/>
      <x:c r="K14" s="18"/>
      <x:c r="L14" s="18"/>
      <x:c r="M14" s="18"/>
      <x:c r="N14" s="18"/>
      <x:c r="O14" s="18"/>
      <x:c r="P14" s="20"/>
      <x:c r="Q14" s="20"/>
      <x:c r="R14" s="20"/>
      <x:c r="S14" s="11" t="str">
        <x:f>IF(COUNT(I14,K14)=2,IF(I14&gt;0,K14/I14,""),"")</x:f>
      </x:c>
      <x:c r="T14" s="11" t="str">
        <x:f>IF(D14="LinkedIn",IF(COUNT(I14,L14)=2,IF(I14&gt;0,L14/I14,""),""),"")</x:f>
      </x:c>
      <x:c r="U14" s="10" t="str">
        <x:f>IF(COUNT(H14,I14)=2,IF(I14&gt;0,H14/I14*1000,""),"")</x:f>
      </x:c>
      <x:c r="V14" s="10" t="str">
        <x:f>IF(COUNT(H14,K14)=2,IF(K14&gt;0,H14/K14,""),"")</x:f>
      </x:c>
      <x:c r="W14" s="19" t="str">
        <x:f>IF(D14="LinkedIn",IF(COUNT(I14,J14)=2,IF(J14&gt;0,I14/J14,""),""),"")</x:f>
      </x:c>
    </x:row>
    <x:row r="15" ht="38" customHeight="1">
      <x:c r="A15" s="17"/>
      <x:c r="B15" s="17"/>
      <x:c r="C15" s="16"/>
      <x:c r="D15" s="16"/>
      <x:c r="E15" s="20"/>
      <x:c r="F15" s="20"/>
      <x:c r="G15" s="20"/>
      <x:c r="H15" s="18"/>
      <x:c r="I15" s="18"/>
      <x:c r="J15" s="18"/>
      <x:c r="K15" s="18"/>
      <x:c r="L15" s="18"/>
      <x:c r="M15" s="18"/>
      <x:c r="N15" s="18"/>
      <x:c r="O15" s="18"/>
      <x:c r="P15" s="20"/>
      <x:c r="Q15" s="20"/>
      <x:c r="R15" s="20"/>
      <x:c r="S15" s="11" t="str">
        <x:f>IF(COUNT(I15,K15)=2,IF(I15&gt;0,K15/I15,""),"")</x:f>
      </x:c>
      <x:c r="T15" s="11" t="str">
        <x:f>IF(D15="LinkedIn",IF(COUNT(I15,L15)=2,IF(I15&gt;0,L15/I15,""),""),"")</x:f>
      </x:c>
      <x:c r="U15" s="10" t="str">
        <x:f>IF(COUNT(H15,I15)=2,IF(I15&gt;0,H15/I15*1000,""),"")</x:f>
      </x:c>
      <x:c r="V15" s="10" t="str">
        <x:f>IF(COUNT(H15,K15)=2,IF(K15&gt;0,H15/K15,""),"")</x:f>
      </x:c>
      <x:c r="W15" s="19" t="str">
        <x:f>IF(D15="LinkedIn",IF(COUNT(I15,J15)=2,IF(J15&gt;0,I15/J15,""),""),"")</x:f>
      </x:c>
    </x:row>
    <x:row r="16" ht="38" customHeight="1">
      <x:c r="A16" s="17"/>
      <x:c r="B16" s="17"/>
      <x:c r="C16" s="16"/>
      <x:c r="D16" s="16"/>
      <x:c r="E16" s="20"/>
      <x:c r="F16" s="20"/>
      <x:c r="G16" s="20"/>
      <x:c r="H16" s="18"/>
      <x:c r="I16" s="18"/>
      <x:c r="J16" s="18"/>
      <x:c r="K16" s="18"/>
      <x:c r="L16" s="18"/>
      <x:c r="M16" s="18"/>
      <x:c r="N16" s="18"/>
      <x:c r="O16" s="18"/>
      <x:c r="P16" s="20"/>
      <x:c r="Q16" s="20"/>
      <x:c r="R16" s="20"/>
      <x:c r="S16" s="11" t="str">
        <x:f>IF(COUNT(I16,K16)=2,IF(I16&gt;0,K16/I16,""),"")</x:f>
      </x:c>
      <x:c r="T16" s="11" t="str">
        <x:f>IF(D16="LinkedIn",IF(COUNT(I16,L16)=2,IF(I16&gt;0,L16/I16,""),""),"")</x:f>
      </x:c>
      <x:c r="U16" s="10" t="str">
        <x:f>IF(COUNT(H16,I16)=2,IF(I16&gt;0,H16/I16*1000,""),"")</x:f>
      </x:c>
      <x:c r="V16" s="10" t="str">
        <x:f>IF(COUNT(H16,K16)=2,IF(K16&gt;0,H16/K16,""),"")</x:f>
      </x:c>
      <x:c r="W16" s="19" t="str">
        <x:f>IF(D16="LinkedIn",IF(COUNT(I16,J16)=2,IF(J16&gt;0,I16/J16,""),""),"")</x:f>
      </x:c>
    </x:row>
    <x:row r="17" ht="38" customHeight="1">
      <x:c r="A17" s="17"/>
      <x:c r="B17" s="17"/>
      <x:c r="C17" s="16"/>
      <x:c r="D17" s="16"/>
      <x:c r="E17" s="20"/>
      <x:c r="F17" s="20"/>
      <x:c r="G17" s="20"/>
      <x:c r="H17" s="18"/>
      <x:c r="I17" s="18"/>
      <x:c r="J17" s="18"/>
      <x:c r="K17" s="18"/>
      <x:c r="L17" s="18"/>
      <x:c r="M17" s="18"/>
      <x:c r="N17" s="18"/>
      <x:c r="O17" s="18"/>
      <x:c r="P17" s="20"/>
      <x:c r="Q17" s="20"/>
      <x:c r="R17" s="20"/>
      <x:c r="S17" s="11" t="str">
        <x:f>IF(COUNT(I17,K17)=2,IF(I17&gt;0,K17/I17,""),"")</x:f>
      </x:c>
      <x:c r="T17" s="11" t="str">
        <x:f>IF(D17="LinkedIn",IF(COUNT(I17,L17)=2,IF(I17&gt;0,L17/I17,""),""),"")</x:f>
      </x:c>
      <x:c r="U17" s="10" t="str">
        <x:f>IF(COUNT(H17,I17)=2,IF(I17&gt;0,H17/I17*1000,""),"")</x:f>
      </x:c>
      <x:c r="V17" s="10" t="str">
        <x:f>IF(COUNT(H17,K17)=2,IF(K17&gt;0,H17/K17,""),"")</x:f>
      </x:c>
      <x:c r="W17" s="19" t="str">
        <x:f>IF(D17="LinkedIn",IF(COUNT(I17,J17)=2,IF(J17&gt;0,I17/J17,""),""),"")</x:f>
      </x:c>
    </x:row>
    <x:row r="18" ht="38" customHeight="1">
      <x:c r="A18" s="17"/>
      <x:c r="B18" s="17"/>
      <x:c r="C18" s="16"/>
      <x:c r="D18" s="16"/>
      <x:c r="E18" s="20"/>
      <x:c r="F18" s="20"/>
      <x:c r="G18" s="20"/>
      <x:c r="H18" s="18"/>
      <x:c r="I18" s="18"/>
      <x:c r="J18" s="18"/>
      <x:c r="K18" s="18"/>
      <x:c r="L18" s="18"/>
      <x:c r="M18" s="18"/>
      <x:c r="N18" s="18"/>
      <x:c r="O18" s="18"/>
      <x:c r="P18" s="20"/>
      <x:c r="Q18" s="20"/>
      <x:c r="R18" s="20"/>
      <x:c r="S18" s="11" t="str">
        <x:f>IF(COUNT(I18,K18)=2,IF(I18&gt;0,K18/I18,""),"")</x:f>
      </x:c>
      <x:c r="T18" s="11" t="str">
        <x:f>IF(D18="LinkedIn",IF(COUNT(I18,L18)=2,IF(I18&gt;0,L18/I18,""),""),"")</x:f>
      </x:c>
      <x:c r="U18" s="10" t="str">
        <x:f>IF(COUNT(H18,I18)=2,IF(I18&gt;0,H18/I18*1000,""),"")</x:f>
      </x:c>
      <x:c r="V18" s="10" t="str">
        <x:f>IF(COUNT(H18,K18)=2,IF(K18&gt;0,H18/K18,""),"")</x:f>
      </x:c>
      <x:c r="W18" s="19" t="str">
        <x:f>IF(D18="LinkedIn",IF(COUNT(I18,J18)=2,IF(J18&gt;0,I18/J18,""),""),"")</x:f>
      </x:c>
    </x:row>
    <x:row r="19" ht="38" customHeight="1">
      <x:c r="A19" s="17"/>
      <x:c r="B19" s="17"/>
      <x:c r="C19" s="16"/>
      <x:c r="D19" s="16"/>
      <x:c r="E19" s="20"/>
      <x:c r="F19" s="20"/>
      <x:c r="G19" s="20"/>
      <x:c r="H19" s="18"/>
      <x:c r="I19" s="18"/>
      <x:c r="J19" s="18"/>
      <x:c r="K19" s="18"/>
      <x:c r="L19" s="18"/>
      <x:c r="M19" s="18"/>
      <x:c r="N19" s="18"/>
      <x:c r="O19" s="18"/>
      <x:c r="P19" s="20"/>
      <x:c r="Q19" s="20"/>
      <x:c r="R19" s="20"/>
      <x:c r="S19" s="11" t="str">
        <x:f>IF(COUNT(I19,K19)=2,IF(I19&gt;0,K19/I19,""),"")</x:f>
      </x:c>
      <x:c r="T19" s="11" t="str">
        <x:f>IF(D19="LinkedIn",IF(COUNT(I19,L19)=2,IF(I19&gt;0,L19/I19,""),""),"")</x:f>
      </x:c>
      <x:c r="U19" s="10" t="str">
        <x:f>IF(COUNT(H19,I19)=2,IF(I19&gt;0,H19/I19*1000,""),"")</x:f>
      </x:c>
      <x:c r="V19" s="10" t="str">
        <x:f>IF(COUNT(H19,K19)=2,IF(K19&gt;0,H19/K19,""),"")</x:f>
      </x:c>
      <x:c r="W19" s="19" t="str">
        <x:f>IF(D19="LinkedIn",IF(COUNT(I19,J19)=2,IF(J19&gt;0,I19/J19,""),""),"")</x:f>
      </x:c>
    </x:row>
    <x:row r="20" ht="38" customHeight="1">
      <x:c r="A20" s="17"/>
      <x:c r="B20" s="17"/>
      <x:c r="C20" s="16"/>
      <x:c r="D20" s="16"/>
      <x:c r="E20" s="20"/>
      <x:c r="F20" s="20"/>
      <x:c r="G20" s="20"/>
      <x:c r="H20" s="18"/>
      <x:c r="I20" s="18"/>
      <x:c r="J20" s="18"/>
      <x:c r="K20" s="18"/>
      <x:c r="L20" s="18"/>
      <x:c r="M20" s="18"/>
      <x:c r="N20" s="18"/>
      <x:c r="O20" s="18"/>
      <x:c r="P20" s="20"/>
      <x:c r="Q20" s="20"/>
      <x:c r="R20" s="20"/>
      <x:c r="S20" s="11" t="str">
        <x:f>IF(COUNT(I20,K20)=2,IF(I20&gt;0,K20/I20,""),"")</x:f>
      </x:c>
      <x:c r="T20" s="11" t="str">
        <x:f>IF(D20="LinkedIn",IF(COUNT(I20,L20)=2,IF(I20&gt;0,L20/I20,""),""),"")</x:f>
      </x:c>
      <x:c r="U20" s="10" t="str">
        <x:f>IF(COUNT(H20,I20)=2,IF(I20&gt;0,H20/I20*1000,""),"")</x:f>
      </x:c>
      <x:c r="V20" s="10" t="str">
        <x:f>IF(COUNT(H20,K20)=2,IF(K20&gt;0,H20/K20,""),"")</x:f>
      </x:c>
      <x:c r="W20" s="19" t="str">
        <x:f>IF(D20="LinkedIn",IF(COUNT(I20,J20)=2,IF(J20&gt;0,I20/J20,""),""),"")</x:f>
      </x:c>
    </x:row>
    <x:row r="21" ht="38" customHeight="1">
      <x:c r="A21" s="17"/>
      <x:c r="B21" s="17"/>
      <x:c r="C21" s="16"/>
      <x:c r="D21" s="16"/>
      <x:c r="E21" s="20"/>
      <x:c r="F21" s="20"/>
      <x:c r="G21" s="20"/>
      <x:c r="H21" s="18"/>
      <x:c r="I21" s="18"/>
      <x:c r="J21" s="18"/>
      <x:c r="K21" s="18"/>
      <x:c r="L21" s="18"/>
      <x:c r="M21" s="18"/>
      <x:c r="N21" s="18"/>
      <x:c r="O21" s="18"/>
      <x:c r="P21" s="20"/>
      <x:c r="Q21" s="20"/>
      <x:c r="R21" s="20"/>
      <x:c r="S21" s="11" t="str">
        <x:f>IF(COUNT(I21,K21)=2,IF(I21&gt;0,K21/I21,""),"")</x:f>
      </x:c>
      <x:c r="T21" s="11" t="str">
        <x:f>IF(D21="LinkedIn",IF(COUNT(I21,L21)=2,IF(I21&gt;0,L21/I21,""),""),"")</x:f>
      </x:c>
      <x:c r="U21" s="10" t="str">
        <x:f>IF(COUNT(H21,I21)=2,IF(I21&gt;0,H21/I21*1000,""),"")</x:f>
      </x:c>
      <x:c r="V21" s="10" t="str">
        <x:f>IF(COUNT(H21,K21)=2,IF(K21&gt;0,H21/K21,""),"")</x:f>
      </x:c>
      <x:c r="W21" s="19" t="str">
        <x:f>IF(D21="LinkedIn",IF(COUNT(I21,J21)=2,IF(J21&gt;0,I21/J21,""),""),"")</x:f>
      </x:c>
    </x:row>
    <x:row r="22" ht="38" customHeight="1">
      <x:c r="A22" s="17"/>
      <x:c r="B22" s="17"/>
      <x:c r="C22" s="16"/>
      <x:c r="D22" s="16"/>
      <x:c r="E22" s="20"/>
      <x:c r="F22" s="20"/>
      <x:c r="G22" s="20"/>
      <x:c r="H22" s="18"/>
      <x:c r="I22" s="18"/>
      <x:c r="J22" s="18"/>
      <x:c r="K22" s="18"/>
      <x:c r="L22" s="18"/>
      <x:c r="M22" s="18"/>
      <x:c r="N22" s="18"/>
      <x:c r="O22" s="18"/>
      <x:c r="P22" s="20"/>
      <x:c r="Q22" s="20"/>
      <x:c r="R22" s="20"/>
      <x:c r="S22" s="11" t="str">
        <x:f>IF(COUNT(I22,K22)=2,IF(I22&gt;0,K22/I22,""),"")</x:f>
      </x:c>
      <x:c r="T22" s="11" t="str">
        <x:f>IF(D22="LinkedIn",IF(COUNT(I22,L22)=2,IF(I22&gt;0,L22/I22,""),""),"")</x:f>
      </x:c>
      <x:c r="U22" s="10" t="str">
        <x:f>IF(COUNT(H22,I22)=2,IF(I22&gt;0,H22/I22*1000,""),"")</x:f>
      </x:c>
      <x:c r="V22" s="10" t="str">
        <x:f>IF(COUNT(H22,K22)=2,IF(K22&gt;0,H22/K22,""),"")</x:f>
      </x:c>
      <x:c r="W22" s="19" t="str">
        <x:f>IF(D22="LinkedIn",IF(COUNT(I22,J22)=2,IF(J22&gt;0,I22/J22,""),""),"")</x:f>
      </x:c>
    </x:row>
    <x:row r="23" ht="38" customHeight="1">
      <x:c r="A23" s="17"/>
      <x:c r="B23" s="17"/>
      <x:c r="C23" s="16"/>
      <x:c r="D23" s="16"/>
      <x:c r="E23" s="20"/>
      <x:c r="F23" s="20"/>
      <x:c r="G23" s="20"/>
      <x:c r="H23" s="18"/>
      <x:c r="I23" s="18"/>
      <x:c r="J23" s="18"/>
      <x:c r="K23" s="18"/>
      <x:c r="L23" s="18"/>
      <x:c r="M23" s="18"/>
      <x:c r="N23" s="18"/>
      <x:c r="O23" s="18"/>
      <x:c r="P23" s="20"/>
      <x:c r="Q23" s="20"/>
      <x:c r="R23" s="20"/>
      <x:c r="S23" s="11" t="str">
        <x:f>IF(COUNT(I23,K23)=2,IF(I23&gt;0,K23/I23,""),"")</x:f>
      </x:c>
      <x:c r="T23" s="11" t="str">
        <x:f>IF(D23="LinkedIn",IF(COUNT(I23,L23)=2,IF(I23&gt;0,L23/I23,""),""),"")</x:f>
      </x:c>
      <x:c r="U23" s="10" t="str">
        <x:f>IF(COUNT(H23,I23)=2,IF(I23&gt;0,H23/I23*1000,""),"")</x:f>
      </x:c>
      <x:c r="V23" s="10" t="str">
        <x:f>IF(COUNT(H23,K23)=2,IF(K23&gt;0,H23/K23,""),"")</x:f>
      </x:c>
      <x:c r="W23" s="19" t="str">
        <x:f>IF(D23="LinkedIn",IF(COUNT(I23,J23)=2,IF(J23&gt;0,I23/J23,""),""),"")</x:f>
      </x:c>
    </x:row>
    <x:row r="24" ht="38" customHeight="1">
      <x:c r="A24" s="17"/>
      <x:c r="B24" s="17"/>
      <x:c r="C24" s="16"/>
      <x:c r="D24" s="16"/>
      <x:c r="E24" s="20"/>
      <x:c r="F24" s="20"/>
      <x:c r="G24" s="20"/>
      <x:c r="H24" s="18"/>
      <x:c r="I24" s="18"/>
      <x:c r="J24" s="18"/>
      <x:c r="K24" s="18"/>
      <x:c r="L24" s="18"/>
      <x:c r="M24" s="18"/>
      <x:c r="N24" s="18"/>
      <x:c r="O24" s="18"/>
      <x:c r="P24" s="20"/>
      <x:c r="Q24" s="20"/>
      <x:c r="R24" s="20"/>
      <x:c r="S24" s="11" t="str">
        <x:f>IF(COUNT(I24,K24)=2,IF(I24&gt;0,K24/I24,""),"")</x:f>
      </x:c>
      <x:c r="T24" s="11" t="str">
        <x:f>IF(D24="LinkedIn",IF(COUNT(I24,L24)=2,IF(I24&gt;0,L24/I24,""),""),"")</x:f>
      </x:c>
      <x:c r="U24" s="10" t="str">
        <x:f>IF(COUNT(H24,I24)=2,IF(I24&gt;0,H24/I24*1000,""),"")</x:f>
      </x:c>
      <x:c r="V24" s="10" t="str">
        <x:f>IF(COUNT(H24,K24)=2,IF(K24&gt;0,H24/K24,""),"")</x:f>
      </x:c>
      <x:c r="W24" s="19" t="str">
        <x:f>IF(D24="LinkedIn",IF(COUNT(I24,J24)=2,IF(J24&gt;0,I24/J24,""),""),"")</x:f>
      </x:c>
    </x:row>
    <x:row r="25" ht="38" customHeight="1">
      <x:c r="A25" s="17"/>
      <x:c r="B25" s="17"/>
      <x:c r="C25" s="16"/>
      <x:c r="D25" s="16"/>
      <x:c r="E25" s="20"/>
      <x:c r="F25" s="20"/>
      <x:c r="G25" s="20"/>
      <x:c r="H25" s="18"/>
      <x:c r="I25" s="18"/>
      <x:c r="J25" s="18"/>
      <x:c r="K25" s="18"/>
      <x:c r="L25" s="18"/>
      <x:c r="M25" s="18"/>
      <x:c r="N25" s="18"/>
      <x:c r="O25" s="18"/>
      <x:c r="P25" s="20"/>
      <x:c r="Q25" s="20"/>
      <x:c r="R25" s="20"/>
      <x:c r="S25" s="11" t="str">
        <x:f>IF(COUNT(I25,K25)=2,IF(I25&gt;0,K25/I25,""),"")</x:f>
      </x:c>
      <x:c r="T25" s="11" t="str">
        <x:f>IF(D25="LinkedIn",IF(COUNT(I25,L25)=2,IF(I25&gt;0,L25/I25,""),""),"")</x:f>
      </x:c>
      <x:c r="U25" s="10" t="str">
        <x:f>IF(COUNT(H25,I25)=2,IF(I25&gt;0,H25/I25*1000,""),"")</x:f>
      </x:c>
      <x:c r="V25" s="10" t="str">
        <x:f>IF(COUNT(H25,K25)=2,IF(K25&gt;0,H25/K25,""),"")</x:f>
      </x:c>
      <x:c r="W25" s="19" t="str">
        <x:f>IF(D25="LinkedIn",IF(COUNT(I25,J25)=2,IF(J25&gt;0,I25/J25,""),""),"")</x:f>
      </x:c>
    </x:row>
    <x:row r="26" ht="38" customHeight="1">
      <x:c r="A26" s="17"/>
      <x:c r="B26" s="17"/>
      <x:c r="C26" s="16"/>
      <x:c r="D26" s="16"/>
      <x:c r="E26" s="20"/>
      <x:c r="F26" s="20"/>
      <x:c r="G26" s="20"/>
      <x:c r="H26" s="18"/>
      <x:c r="I26" s="18"/>
      <x:c r="J26" s="18"/>
      <x:c r="K26" s="18"/>
      <x:c r="L26" s="18"/>
      <x:c r="M26" s="18"/>
      <x:c r="N26" s="18"/>
      <x:c r="O26" s="18"/>
      <x:c r="P26" s="20"/>
      <x:c r="Q26" s="20"/>
      <x:c r="R26" s="20"/>
      <x:c r="S26" s="11" t="str">
        <x:f>IF(COUNT(I26,K26)=2,IF(I26&gt;0,K26/I26,""),"")</x:f>
      </x:c>
      <x:c r="T26" s="11" t="str">
        <x:f>IF(D26="LinkedIn",IF(COUNT(I26,L26)=2,IF(I26&gt;0,L26/I26,""),""),"")</x:f>
      </x:c>
      <x:c r="U26" s="10" t="str">
        <x:f>IF(COUNT(H26,I26)=2,IF(I26&gt;0,H26/I26*1000,""),"")</x:f>
      </x:c>
      <x:c r="V26" s="10" t="str">
        <x:f>IF(COUNT(H26,K26)=2,IF(K26&gt;0,H26/K26,""),"")</x:f>
      </x:c>
      <x:c r="W26" s="19" t="str">
        <x:f>IF(D26="LinkedIn",IF(COUNT(I26,J26)=2,IF(J26&gt;0,I26/J26,""),""),"")</x:f>
      </x:c>
    </x:row>
    <x:row r="27" ht="38" customHeight="1">
      <x:c r="A27" s="17"/>
      <x:c r="B27" s="17"/>
      <x:c r="C27" s="16"/>
      <x:c r="D27" s="16"/>
      <x:c r="E27" s="20"/>
      <x:c r="F27" s="20"/>
      <x:c r="G27" s="20"/>
      <x:c r="H27" s="18"/>
      <x:c r="I27" s="18"/>
      <x:c r="J27" s="18"/>
      <x:c r="K27" s="18"/>
      <x:c r="L27" s="18"/>
      <x:c r="M27" s="18"/>
      <x:c r="N27" s="18"/>
      <x:c r="O27" s="18"/>
      <x:c r="P27" s="20"/>
      <x:c r="Q27" s="20"/>
      <x:c r="R27" s="20"/>
      <x:c r="S27" s="11" t="str">
        <x:f>IF(COUNT(I27,K27)=2,IF(I27&gt;0,K27/I27,""),"")</x:f>
      </x:c>
      <x:c r="T27" s="11" t="str">
        <x:f>IF(D27="LinkedIn",IF(COUNT(I27,L27)=2,IF(I27&gt;0,L27/I27,""),""),"")</x:f>
      </x:c>
      <x:c r="U27" s="10" t="str">
        <x:f>IF(COUNT(H27,I27)=2,IF(I27&gt;0,H27/I27*1000,""),"")</x:f>
      </x:c>
      <x:c r="V27" s="10" t="str">
        <x:f>IF(COUNT(H27,K27)=2,IF(K27&gt;0,H27/K27,""),"")</x:f>
      </x:c>
      <x:c r="W27" s="19" t="str">
        <x:f>IF(D27="LinkedIn",IF(COUNT(I27,J27)=2,IF(J27&gt;0,I27/J27,""),""),"")</x:f>
      </x:c>
    </x:row>
    <x:row r="28" ht="38" customHeight="1">
      <x:c r="A28" s="17"/>
      <x:c r="B28" s="17"/>
      <x:c r="C28" s="16"/>
      <x:c r="D28" s="16"/>
      <x:c r="E28" s="20"/>
      <x:c r="F28" s="20"/>
      <x:c r="G28" s="20"/>
      <x:c r="H28" s="18"/>
      <x:c r="I28" s="18"/>
      <x:c r="J28" s="18"/>
      <x:c r="K28" s="18"/>
      <x:c r="L28" s="18"/>
      <x:c r="M28" s="18"/>
      <x:c r="N28" s="18"/>
      <x:c r="O28" s="18"/>
      <x:c r="P28" s="20"/>
      <x:c r="Q28" s="20"/>
      <x:c r="R28" s="20"/>
      <x:c r="S28" s="11" t="str">
        <x:f>IF(COUNT(I28,K28)=2,IF(I28&gt;0,K28/I28,""),"")</x:f>
      </x:c>
      <x:c r="T28" s="11" t="str">
        <x:f>IF(D28="LinkedIn",IF(COUNT(I28,L28)=2,IF(I28&gt;0,L28/I28,""),""),"")</x:f>
      </x:c>
      <x:c r="U28" s="10" t="str">
        <x:f>IF(COUNT(H28,I28)=2,IF(I28&gt;0,H28/I28*1000,""),"")</x:f>
      </x:c>
      <x:c r="V28" s="10" t="str">
        <x:f>IF(COUNT(H28,K28)=2,IF(K28&gt;0,H28/K28,""),"")</x:f>
      </x:c>
      <x:c r="W28" s="19" t="str">
        <x:f>IF(D28="LinkedIn",IF(COUNT(I28,J28)=2,IF(J28&gt;0,I28/J28,""),""),"")</x:f>
      </x:c>
    </x:row>
    <x:row r="29" ht="38" customHeight="1">
      <x:c r="A29" s="17"/>
      <x:c r="B29" s="17"/>
      <x:c r="C29" s="16"/>
      <x:c r="D29" s="16"/>
      <x:c r="E29" s="20"/>
      <x:c r="F29" s="20"/>
      <x:c r="G29" s="20"/>
      <x:c r="H29" s="18"/>
      <x:c r="I29" s="18"/>
      <x:c r="J29" s="18"/>
      <x:c r="K29" s="18"/>
      <x:c r="L29" s="18"/>
      <x:c r="M29" s="18"/>
      <x:c r="N29" s="18"/>
      <x:c r="O29" s="18"/>
      <x:c r="P29" s="20"/>
      <x:c r="Q29" s="20"/>
      <x:c r="R29" s="20"/>
      <x:c r="S29" s="11" t="str">
        <x:f>IF(COUNT(I29,K29)=2,IF(I29&gt;0,K29/I29,""),"")</x:f>
      </x:c>
      <x:c r="T29" s="11" t="str">
        <x:f>IF(D29="LinkedIn",IF(COUNT(I29,L29)=2,IF(I29&gt;0,L29/I29,""),""),"")</x:f>
      </x:c>
      <x:c r="U29" s="10" t="str">
        <x:f>IF(COUNT(H29,I29)=2,IF(I29&gt;0,H29/I29*1000,""),"")</x:f>
      </x:c>
      <x:c r="V29" s="10" t="str">
        <x:f>IF(COUNT(H29,K29)=2,IF(K29&gt;0,H29/K29,""),"")</x:f>
      </x:c>
      <x:c r="W29" s="19" t="str">
        <x:f>IF(D29="LinkedIn",IF(COUNT(I29,J29)=2,IF(J29&gt;0,I29/J29,""),""),"")</x:f>
      </x:c>
    </x:row>
    <x:row r="30" ht="38" customHeight="1">
      <x:c r="A30" s="17"/>
      <x:c r="B30" s="17"/>
      <x:c r="C30" s="16"/>
      <x:c r="D30" s="16"/>
      <x:c r="E30" s="20"/>
      <x:c r="F30" s="20"/>
      <x:c r="G30" s="20"/>
      <x:c r="H30" s="18"/>
      <x:c r="I30" s="18"/>
      <x:c r="J30" s="18"/>
      <x:c r="K30" s="18"/>
      <x:c r="L30" s="18"/>
      <x:c r="M30" s="18"/>
      <x:c r="N30" s="18"/>
      <x:c r="O30" s="18"/>
      <x:c r="P30" s="20"/>
      <x:c r="Q30" s="20"/>
      <x:c r="R30" s="20"/>
      <x:c r="S30" s="11" t="str">
        <x:f>IF(COUNT(I30,K30)=2,IF(I30&gt;0,K30/I30,""),"")</x:f>
      </x:c>
      <x:c r="T30" s="11" t="str">
        <x:f>IF(D30="LinkedIn",IF(COUNT(I30,L30)=2,IF(I30&gt;0,L30/I30,""),""),"")</x:f>
      </x:c>
      <x:c r="U30" s="10" t="str">
        <x:f>IF(COUNT(H30,I30)=2,IF(I30&gt;0,H30/I30*1000,""),"")</x:f>
      </x:c>
      <x:c r="V30" s="10" t="str">
        <x:f>IF(COUNT(H30,K30)=2,IF(K30&gt;0,H30/K30,""),"")</x:f>
      </x:c>
      <x:c r="W30" s="19" t="str">
        <x:f>IF(D30="LinkedIn",IF(COUNT(I30,J30)=2,IF(J30&gt;0,I30/J30,""),""),"")</x:f>
      </x:c>
    </x:row>
    <x:row r="31" ht="38" customHeight="1">
      <x:c r="A31" s="17"/>
      <x:c r="B31" s="17"/>
      <x:c r="C31" s="16"/>
      <x:c r="D31" s="16"/>
      <x:c r="E31" s="20"/>
      <x:c r="F31" s="20"/>
      <x:c r="G31" s="20"/>
      <x:c r="H31" s="18"/>
      <x:c r="I31" s="18"/>
      <x:c r="J31" s="18"/>
      <x:c r="K31" s="18"/>
      <x:c r="L31" s="18"/>
      <x:c r="M31" s="18"/>
      <x:c r="N31" s="18"/>
      <x:c r="O31" s="18"/>
      <x:c r="P31" s="20"/>
      <x:c r="Q31" s="20"/>
      <x:c r="R31" s="20"/>
      <x:c r="S31" s="11" t="str">
        <x:f>IF(COUNT(I31,K31)=2,IF(I31&gt;0,K31/I31,""),"")</x:f>
      </x:c>
      <x:c r="T31" s="11" t="str">
        <x:f>IF(D31="LinkedIn",IF(COUNT(I31,L31)=2,IF(I31&gt;0,L31/I31,""),""),"")</x:f>
      </x:c>
      <x:c r="U31" s="10" t="str">
        <x:f>IF(COUNT(H31,I31)=2,IF(I31&gt;0,H31/I31*1000,""),"")</x:f>
      </x:c>
      <x:c r="V31" s="10" t="str">
        <x:f>IF(COUNT(H31,K31)=2,IF(K31&gt;0,H31/K31,""),"")</x:f>
      </x:c>
      <x:c r="W31" s="19" t="str">
        <x:f>IF(D31="LinkedIn",IF(COUNT(I31,J31)=2,IF(J31&gt;0,I31/J31,""),""),"")</x:f>
      </x:c>
    </x:row>
    <x:row r="32" ht="38" customHeight="1">
      <x:c r="A32" s="17"/>
      <x:c r="B32" s="17"/>
      <x:c r="C32" s="16"/>
      <x:c r="D32" s="16"/>
      <x:c r="E32" s="20"/>
      <x:c r="F32" s="20"/>
      <x:c r="G32" s="20"/>
      <x:c r="H32" s="18"/>
      <x:c r="I32" s="18"/>
      <x:c r="J32" s="18"/>
      <x:c r="K32" s="18"/>
      <x:c r="L32" s="18"/>
      <x:c r="M32" s="18"/>
      <x:c r="N32" s="18"/>
      <x:c r="O32" s="18"/>
      <x:c r="P32" s="20"/>
      <x:c r="Q32" s="20"/>
      <x:c r="R32" s="20"/>
      <x:c r="S32" s="11" t="str">
        <x:f>IF(COUNT(I32,K32)=2,IF(I32&gt;0,K32/I32,""),"")</x:f>
      </x:c>
      <x:c r="T32" s="11" t="str">
        <x:f>IF(D32="LinkedIn",IF(COUNT(I32,L32)=2,IF(I32&gt;0,L32/I32,""),""),"")</x:f>
      </x:c>
      <x:c r="U32" s="10" t="str">
        <x:f>IF(COUNT(H32,I32)=2,IF(I32&gt;0,H32/I32*1000,""),"")</x:f>
      </x:c>
      <x:c r="V32" s="10" t="str">
        <x:f>IF(COUNT(H32,K32)=2,IF(K32&gt;0,H32/K32,""),"")</x:f>
      </x:c>
      <x:c r="W32" s="19" t="str">
        <x:f>IF(D32="LinkedIn",IF(COUNT(I32,J32)=2,IF(J32&gt;0,I32/J32,""),""),"")</x:f>
      </x:c>
    </x:row>
    <x:row r="33" ht="38" customHeight="1">
      <x:c r="A33" s="17"/>
      <x:c r="B33" s="17"/>
      <x:c r="C33" s="16"/>
      <x:c r="D33" s="16"/>
      <x:c r="E33" s="20"/>
      <x:c r="F33" s="20"/>
      <x:c r="G33" s="20"/>
      <x:c r="H33" s="18"/>
      <x:c r="I33" s="18"/>
      <x:c r="J33" s="18"/>
      <x:c r="K33" s="18"/>
      <x:c r="L33" s="18"/>
      <x:c r="M33" s="18"/>
      <x:c r="N33" s="18"/>
      <x:c r="O33" s="18"/>
      <x:c r="P33" s="20"/>
      <x:c r="Q33" s="20"/>
      <x:c r="R33" s="20"/>
      <x:c r="S33" s="11" t="str">
        <x:f>IF(COUNT(I33,K33)=2,IF(I33&gt;0,K33/I33,""),"")</x:f>
      </x:c>
      <x:c r="T33" s="11" t="str">
        <x:f>IF(D33="LinkedIn",IF(COUNT(I33,L33)=2,IF(I33&gt;0,L33/I33,""),""),"")</x:f>
      </x:c>
      <x:c r="U33" s="10" t="str">
        <x:f>IF(COUNT(H33,I33)=2,IF(I33&gt;0,H33/I33*1000,""),"")</x:f>
      </x:c>
      <x:c r="V33" s="10" t="str">
        <x:f>IF(COUNT(H33,K33)=2,IF(K33&gt;0,H33/K33,""),"")</x:f>
      </x:c>
      <x:c r="W33" s="19" t="str">
        <x:f>IF(D33="LinkedIn",IF(COUNT(I33,J33)=2,IF(J33&gt;0,I33/J33,""),""),"")</x:f>
      </x:c>
    </x:row>
    <x:row r="34" ht="38" customHeight="1">
      <x:c r="A34" s="17"/>
      <x:c r="B34" s="17"/>
      <x:c r="C34" s="16"/>
      <x:c r="D34" s="16"/>
      <x:c r="E34" s="20"/>
      <x:c r="F34" s="20"/>
      <x:c r="G34" s="20"/>
      <x:c r="H34" s="18"/>
      <x:c r="I34" s="18"/>
      <x:c r="J34" s="18"/>
      <x:c r="K34" s="18"/>
      <x:c r="L34" s="18"/>
      <x:c r="M34" s="18"/>
      <x:c r="N34" s="18"/>
      <x:c r="O34" s="18"/>
      <x:c r="P34" s="20"/>
      <x:c r="Q34" s="20"/>
      <x:c r="R34" s="20"/>
      <x:c r="S34" s="11" t="str">
        <x:f>IF(COUNT(I34,K34)=2,IF(I34&gt;0,K34/I34,""),"")</x:f>
      </x:c>
      <x:c r="T34" s="11" t="str">
        <x:f>IF(D34="LinkedIn",IF(COUNT(I34,L34)=2,IF(I34&gt;0,L34/I34,""),""),"")</x:f>
      </x:c>
      <x:c r="U34" s="10" t="str">
        <x:f>IF(COUNT(H34,I34)=2,IF(I34&gt;0,H34/I34*1000,""),"")</x:f>
      </x:c>
      <x:c r="V34" s="10" t="str">
        <x:f>IF(COUNT(H34,K34)=2,IF(K34&gt;0,H34/K34,""),"")</x:f>
      </x:c>
      <x:c r="W34" s="19" t="str">
        <x:f>IF(D34="LinkedIn",IF(COUNT(I34,J34)=2,IF(J34&gt;0,I34/J34,""),""),"")</x:f>
      </x:c>
    </x:row>
    <x:row r="35" ht="38" customHeight="1">
      <x:c r="A35" s="17"/>
      <x:c r="B35" s="17"/>
      <x:c r="C35" s="16"/>
      <x:c r="D35" s="16"/>
      <x:c r="E35" s="20"/>
      <x:c r="F35" s="20"/>
      <x:c r="G35" s="20"/>
      <x:c r="H35" s="18"/>
      <x:c r="I35" s="18"/>
      <x:c r="J35" s="18"/>
      <x:c r="K35" s="18"/>
      <x:c r="L35" s="18"/>
      <x:c r="M35" s="18"/>
      <x:c r="N35" s="18"/>
      <x:c r="O35" s="18"/>
      <x:c r="P35" s="20"/>
      <x:c r="Q35" s="20"/>
      <x:c r="R35" s="20"/>
      <x:c r="S35" s="11" t="str">
        <x:f>IF(COUNT(I35,K35)=2,IF(I35&gt;0,K35/I35,""),"")</x:f>
      </x:c>
      <x:c r="T35" s="11" t="str">
        <x:f>IF(D35="LinkedIn",IF(COUNT(I35,L35)=2,IF(I35&gt;0,L35/I35,""),""),"")</x:f>
      </x:c>
      <x:c r="U35" s="10" t="str">
        <x:f>IF(COUNT(H35,I35)=2,IF(I35&gt;0,H35/I35*1000,""),"")</x:f>
      </x:c>
      <x:c r="V35" s="10" t="str">
        <x:f>IF(COUNT(H35,K35)=2,IF(K35&gt;0,H35/K35,""),"")</x:f>
      </x:c>
      <x:c r="W35" s="19" t="str">
        <x:f>IF(D35="LinkedIn",IF(COUNT(I35,J35)=2,IF(J35&gt;0,I35/J35,""),""),"")</x:f>
      </x:c>
    </x:row>
    <x:row r="36" ht="38" customHeight="1">
      <x:c r="A36" s="17"/>
      <x:c r="B36" s="17"/>
      <x:c r="C36" s="16"/>
      <x:c r="D36" s="16"/>
      <x:c r="E36" s="20"/>
      <x:c r="F36" s="20"/>
      <x:c r="G36" s="20"/>
      <x:c r="H36" s="18"/>
      <x:c r="I36" s="18"/>
      <x:c r="J36" s="18"/>
      <x:c r="K36" s="18"/>
      <x:c r="L36" s="18"/>
      <x:c r="M36" s="18"/>
      <x:c r="N36" s="18"/>
      <x:c r="O36" s="18"/>
      <x:c r="P36" s="20"/>
      <x:c r="Q36" s="20"/>
      <x:c r="R36" s="20"/>
      <x:c r="S36" s="11" t="str">
        <x:f>IF(COUNT(I36,K36)=2,IF(I36&gt;0,K36/I36,""),"")</x:f>
      </x:c>
      <x:c r="T36" s="11" t="str">
        <x:f>IF(D36="LinkedIn",IF(COUNT(I36,L36)=2,IF(I36&gt;0,L36/I36,""),""),"")</x:f>
      </x:c>
      <x:c r="U36" s="10" t="str">
        <x:f>IF(COUNT(H36,I36)=2,IF(I36&gt;0,H36/I36*1000,""),"")</x:f>
      </x:c>
      <x:c r="V36" s="10" t="str">
        <x:f>IF(COUNT(H36,K36)=2,IF(K36&gt;0,H36/K36,""),"")</x:f>
      </x:c>
      <x:c r="W36" s="19" t="str">
        <x:f>IF(D36="LinkedIn",IF(COUNT(I36,J36)=2,IF(J36&gt;0,I36/J36,""),""),"")</x:f>
      </x:c>
    </x:row>
    <x:row r="37" ht="38" customHeight="1">
      <x:c r="A37" s="17"/>
      <x:c r="B37" s="17"/>
      <x:c r="C37" s="16"/>
      <x:c r="D37" s="16"/>
      <x:c r="E37" s="20"/>
      <x:c r="F37" s="20"/>
      <x:c r="G37" s="20"/>
      <x:c r="H37" s="18"/>
      <x:c r="I37" s="18"/>
      <x:c r="J37" s="18"/>
      <x:c r="K37" s="18"/>
      <x:c r="L37" s="18"/>
      <x:c r="M37" s="18"/>
      <x:c r="N37" s="18"/>
      <x:c r="O37" s="18"/>
      <x:c r="P37" s="20"/>
      <x:c r="Q37" s="20"/>
      <x:c r="R37" s="20"/>
      <x:c r="S37" s="11" t="str">
        <x:f>IF(COUNT(I37,K37)=2,IF(I37&gt;0,K37/I37,""),"")</x:f>
      </x:c>
      <x:c r="T37" s="11" t="str">
        <x:f>IF(D37="LinkedIn",IF(COUNT(I37,L37)=2,IF(I37&gt;0,L37/I37,""),""),"")</x:f>
      </x:c>
      <x:c r="U37" s="10" t="str">
        <x:f>IF(COUNT(H37,I37)=2,IF(I37&gt;0,H37/I37*1000,""),"")</x:f>
      </x:c>
      <x:c r="V37" s="10" t="str">
        <x:f>IF(COUNT(H37,K37)=2,IF(K37&gt;0,H37/K37,""),"")</x:f>
      </x:c>
      <x:c r="W37" s="19" t="str">
        <x:f>IF(D37="LinkedIn",IF(COUNT(I37,J37)=2,IF(J37&gt;0,I37/J37,""),""),"")</x:f>
      </x:c>
    </x:row>
    <x:row r="38" ht="2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</x:row>
  </x:sheetData>
  <x:dataValidations count="12">
    <x:dataValidation type="whole" operator="between" sqref="C8:C37">
      <x:formula1>1</x:formula1>
      <x:formula2>2</x:formula2>
    </x:dataValidation>
    <x:dataValidation type="list" sqref="D8:D37">
      <x:formula1>"LinkedIn,Search"</x:formula1>
    </x:dataValidation>
    <x:dataValidation type="list" sqref="F8:F37">
      <x:formula1>"VN,FDI"</x:formula1>
    </x:dataValidation>
    <x:dataValidation type="list" sqref="G8:G37">
      <x:formula1>"Tiếng Việt,English,中文 giản thể,中文 phồn thể"</x:formula1>
    </x:dataValidation>
    <x:dataValidation type="decimal" operator="greaterThanOrEqual" sqref="H8:H37">
      <x:formula1>0</x:formula1>
    </x:dataValidation>
    <x:dataValidation type="decimal" operator="greaterThanOrEqual" sqref="I8:I37">
      <x:formula1>0</x:formula1>
    </x:dataValidation>
    <x:dataValidation type="decimal" operator="greaterThanOrEqual" sqref="J8:J37">
      <x:formula1>0</x:formula1>
    </x:dataValidation>
    <x:dataValidation type="decimal" operator="greaterThanOrEqual" sqref="K8:K37">
      <x:formula1>0</x:formula1>
    </x:dataValidation>
    <x:dataValidation type="decimal" operator="greaterThanOrEqual" sqref="L8:L37">
      <x:formula1>0</x:formula1>
    </x:dataValidation>
    <x:dataValidation type="decimal" operator="greaterThanOrEqual" sqref="M8:M37">
      <x:formula1>0</x:formula1>
    </x:dataValidation>
    <x:dataValidation type="decimal" operator="greaterThanOrEqual" sqref="N8:N37">
      <x:formula1>0</x:formula1>
    </x:dataValidation>
    <x:dataValidation type="decimal" operator="greaterThanOrEqual" sqref="O8:O37">
      <x:formula1>0</x:formula1>
    </x:dataValidation>
  </x:dataValidations>
  <x:pageMargins left="0.7" right="0.7" top="0.75" bottom="0.75" header="0.3" footer="0.3"/>
</x:worksheet>
</file>