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00_Tong_quan" sheetId="1" state="visible" r:id="rId1"/>
    <sheet name="01_Thiet_lap" sheetId="2" state="visible" r:id="rId2"/>
    <sheet name="02_Lo_trinh" sheetId="3" state="visible" r:id="rId3"/>
    <sheet name="03_Chi_tieu" sheetId="4" state="visible" r:id="rId4"/>
    <sheet name="04_Danh_gia" sheetId="5" state="visible" r:id="rId5"/>
    <sheet name="05_Bao_cao_tuan" sheetId="6" state="visible" r:id="rId6"/>
    <sheet name="06_Kiem_tra" sheetId="7" state="visible" r:id="rId7"/>
    <sheet name="07_Kenh_ngay" sheetId="8" state="visible" r:id="rId8"/>
    <sheet name="08_Tu_khoa" sheetId="9" state="visible" r:id="rId9"/>
    <sheet name="09_Audience_schema" sheetId="10" state="visible" r:id="rId10"/>
    <sheet name="10_KPI_dictionary" sheetId="11" state="visible" r:id="rId11"/>
  </sheets>
  <definedNames/>
</workbook>
</file>

<file path=xl/styles.xml><?xml version="1.0" encoding="utf-8"?>
<styleSheet xmlns="http://schemas.openxmlformats.org/spreadsheetml/2006/main">
  <numFmts count="5">
    <numFmt numFmtId="164" formatCode="#,##0;[Red](#,##0);–"/>
    <numFmt numFmtId="165" formatCode="0.0%;[Red](0.0%);–"/>
    <numFmt numFmtId="166" formatCode="dd/mm/yyyy"/>
    <numFmt numFmtId="167" formatCode="0;[Red](0);–"/>
    <numFmt numFmtId="168" formatCode="0.0%"/>
  </numFmts>
  <fonts count="18">
    <font>
      <name val="Carlito"/>
      <sz val="11"/>
    </font>
    <font>
      <name val="Calibri"/>
      <color rgb="FF203047"/>
      <sz val="11"/>
    </font>
    <font>
      <name val="Calibri"/>
      <b val="1"/>
      <color rgb="FFFFFFFF"/>
      <sz val="20"/>
    </font>
    <font>
      <name val="Calibri"/>
      <color rgb="FF62748A"/>
      <sz val="11"/>
    </font>
    <font>
      <name val="Calibri"/>
      <b val="1"/>
      <color rgb="FFFFFFFF"/>
      <sz val="11"/>
    </font>
    <font>
      <name val="Calibri"/>
      <color rgb="FF203047"/>
      <sz val="11"/>
    </font>
    <font>
      <name val="Calibri"/>
      <color rgb="FF174E8C"/>
      <sz val="11"/>
    </font>
    <font>
      <name val="Calibri"/>
      <color rgb="FF174E8C"/>
      <sz val="11"/>
    </font>
    <font>
      <name val="Calibri"/>
      <b val="1"/>
      <color rgb="FF203047"/>
      <sz val="11"/>
    </font>
    <font>
      <name val="Calibri"/>
      <b val="1"/>
      <color rgb="FFFFFFFF"/>
      <sz val="10"/>
    </font>
    <font>
      <name val="Calibri"/>
      <b val="1"/>
      <color rgb="FF203047"/>
      <sz val="19"/>
    </font>
    <font>
      <name val="Calibri"/>
      <b val="1"/>
      <color rgb="FF203047"/>
      <sz val="16"/>
    </font>
    <font>
      <name val="Arial"/>
      <b val="1"/>
      <color rgb="FF17365D"/>
      <sz val="14"/>
    </font>
    <font>
      <name val="Arial"/>
      <i val="1"/>
      <color rgb="FF526579"/>
      <sz val="10"/>
    </font>
    <font>
      <name val="Arial"/>
      <b val="1"/>
      <color rgb="FFFFFFFF"/>
      <sz val="10"/>
    </font>
    <font>
      <name val="Arial"/>
      <sz val="10"/>
    </font>
    <font>
      <name val="Arial"/>
      <sz val="9"/>
    </font>
    <font>
      <name val="Arial"/>
      <b val="1"/>
      <sz val="9"/>
    </font>
  </fonts>
  <fills count="10">
    <fill>
      <patternFill/>
    </fill>
    <fill>
      <patternFill patternType="gray125"/>
    </fill>
    <fill>
      <patternFill patternType="solid">
        <fgColor rgb="FFFFFFFF"/>
      </patternFill>
    </fill>
    <fill>
      <patternFill patternType="solid">
        <fgColor rgb="FF142D4E"/>
      </patternFill>
    </fill>
    <fill>
      <patternFill patternType="solid">
        <fgColor rgb="FFEAF4F5"/>
      </patternFill>
    </fill>
    <fill>
      <patternFill patternType="solid">
        <fgColor rgb="FFFFF5D6"/>
      </patternFill>
    </fill>
    <fill>
      <patternFill patternType="solid">
        <fgColor rgb="FFF0F4F8"/>
      </patternFill>
    </fill>
    <fill>
      <patternFill patternType="solid">
        <fgColor rgb="FF087F8C"/>
      </patternFill>
    </fill>
    <fill>
      <patternFill patternType="solid">
        <fgColor rgb="FF17365D"/>
      </patternFill>
    </fill>
    <fill>
      <patternFill patternType="solid">
        <fgColor rgb="FFFFF7E3"/>
      </patternFill>
    </fill>
  </fills>
  <borders count="3">
    <border/>
    <border/>
    <border>
      <left style="thin">
        <color rgb="00D9D9D9"/>
      </left>
      <right style="thin">
        <color rgb="00D9D9D9"/>
      </right>
      <top style="thin">
        <color rgb="00D9D9D9"/>
      </top>
      <bottom style="thin">
        <color rgb="00D9D9D9"/>
      </bottom>
    </border>
  </borders>
  <cellStyleXfs count="1">
    <xf numFmtId="0" fontId="0" fillId="0" borderId="1"/>
  </cellStyleXfs>
  <cellXfs count="14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vertical="center" wrapText="1"/>
    </xf>
    <xf numFmtId="0" fontId="1" fillId="3" borderId="0" applyAlignment="1" pivotButton="0" quotePrefix="0" xfId="0">
      <alignment vertical="center" wrapText="1"/>
    </xf>
    <xf numFmtId="0" fontId="2" fillId="3" borderId="0" applyAlignment="1" pivotButton="0" quotePrefix="0" xfId="0">
      <alignment vertical="center" wrapText="1"/>
    </xf>
    <xf numFmtId="0" fontId="1" fillId="3" borderId="1" applyAlignment="1" pivotButton="0" quotePrefix="0" xfId="0">
      <alignment vertical="center" wrapText="1"/>
    </xf>
    <xf numFmtId="0" fontId="2" fillId="3" borderId="1" applyAlignment="1" pivotButton="0" quotePrefix="0" xfId="0">
      <alignment vertical="center" wrapText="1"/>
    </xf>
    <xf numFmtId="0" fontId="1" fillId="4" borderId="0" applyAlignment="1" pivotButton="0" quotePrefix="0" xfId="0">
      <alignment vertical="center" wrapText="1"/>
    </xf>
    <xf numFmtId="0" fontId="3" fillId="4" borderId="0" applyAlignment="1" pivotButton="0" quotePrefix="0" xfId="0">
      <alignment vertical="center" wrapText="1"/>
    </xf>
    <xf numFmtId="0" fontId="1" fillId="4" borderId="1" applyAlignment="1" pivotButton="0" quotePrefix="0" xfId="0">
      <alignment vertical="center" wrapText="1"/>
    </xf>
    <xf numFmtId="0" fontId="3" fillId="4" borderId="1" applyAlignment="1" pivotButton="0" quotePrefix="0" xfId="0">
      <alignment vertical="center" wrapText="1"/>
    </xf>
    <xf numFmtId="0" fontId="4" fillId="3" borderId="0" applyAlignment="1" pivotButton="0" quotePrefix="0" xfId="0">
      <alignment vertical="center" wrapText="1"/>
    </xf>
    <xf numFmtId="0" fontId="4" fillId="3" borderId="1" applyAlignment="1" pivotButton="0" quotePrefix="0" xfId="0">
      <alignment vertical="center" wrapText="1"/>
    </xf>
    <xf numFmtId="0" fontId="5" fillId="2" borderId="0" applyAlignment="1" pivotButton="0" quotePrefix="0" xfId="0">
      <alignment vertical="center" wrapText="1"/>
    </xf>
    <xf numFmtId="0" fontId="5" fillId="2" borderId="1" applyAlignment="1" pivotButton="0" quotePrefix="0" xfId="0">
      <alignment vertical="center" wrapText="1"/>
    </xf>
    <xf numFmtId="0" fontId="5" fillId="5" borderId="0" applyAlignment="1" pivotButton="0" quotePrefix="0" xfId="0">
      <alignment vertical="center" wrapText="1"/>
    </xf>
    <xf numFmtId="0" fontId="6" fillId="5" borderId="0" applyAlignment="1" pivotButton="0" quotePrefix="0" xfId="0">
      <alignment vertical="center" wrapText="1"/>
    </xf>
    <xf numFmtId="0" fontId="5" fillId="5" borderId="1" applyAlignment="1" pivotButton="0" quotePrefix="0" xfId="0">
      <alignment vertical="center" wrapText="1"/>
    </xf>
    <xf numFmtId="0" fontId="6" fillId="5" borderId="1" applyAlignment="1" pivotButton="0" quotePrefix="0" xfId="0">
      <alignment vertical="center" wrapText="1"/>
    </xf>
    <xf numFmtId="0" fontId="6" fillId="6" borderId="0" applyAlignment="1" pivotButton="0" quotePrefix="0" xfId="0">
      <alignment vertical="center" wrapText="1"/>
    </xf>
    <xf numFmtId="0" fontId="5" fillId="6" borderId="0" applyAlignment="1" pivotButton="0" quotePrefix="0" xfId="0">
      <alignment vertical="center" wrapText="1"/>
    </xf>
    <xf numFmtId="0" fontId="6" fillId="6" borderId="1" applyAlignment="1" pivotButton="0" quotePrefix="0" xfId="0">
      <alignment vertical="center" wrapText="1"/>
    </xf>
    <xf numFmtId="0" fontId="5" fillId="6" borderId="1" applyAlignment="1" pivotButton="0" quotePrefix="0" xfId="0">
      <alignment vertical="center" wrapText="1"/>
    </xf>
    <xf numFmtId="164" fontId="5" fillId="6" borderId="0" applyAlignment="1" pivotButton="0" quotePrefix="0" xfId="0">
      <alignment vertical="center" wrapText="1"/>
    </xf>
    <xf numFmtId="164" fontId="5" fillId="6" borderId="1" applyAlignment="1" pivotButton="0" quotePrefix="0" xfId="0">
      <alignment vertical="center" wrapText="1"/>
    </xf>
    <xf numFmtId="164" fontId="6" fillId="5" borderId="0" applyAlignment="1" pivotButton="0" quotePrefix="0" xfId="0">
      <alignment vertical="center" wrapText="1"/>
    </xf>
    <xf numFmtId="164" fontId="6" fillId="5" borderId="1" applyAlignment="1" pivotButton="0" quotePrefix="0" xfId="0">
      <alignment vertical="center" wrapText="1"/>
    </xf>
    <xf numFmtId="165" fontId="6" fillId="5" borderId="0" applyAlignment="1" pivotButton="0" quotePrefix="0" xfId="0">
      <alignment vertical="center" wrapText="1"/>
    </xf>
    <xf numFmtId="165" fontId="6" fillId="5" borderId="1" applyAlignment="1" pivotButton="0" quotePrefix="0" xfId="0">
      <alignment vertical="center" wrapText="1"/>
    </xf>
    <xf numFmtId="166" fontId="6" fillId="5" borderId="0" applyAlignment="1" pivotButton="0" quotePrefix="0" xfId="0">
      <alignment vertical="center" wrapText="1"/>
    </xf>
    <xf numFmtId="166" fontId="6" fillId="5" borderId="1" applyAlignment="1" pivotButton="0" quotePrefix="0" xfId="0">
      <alignment vertical="center" wrapText="1"/>
    </xf>
    <xf numFmtId="0" fontId="1" fillId="6" borderId="0" applyAlignment="1" pivotButton="0" quotePrefix="0" xfId="0">
      <alignment vertical="center" wrapText="1"/>
    </xf>
    <xf numFmtId="0" fontId="1" fillId="6" borderId="1" applyAlignment="1" pivotButton="0" quotePrefix="0" xfId="0">
      <alignment vertical="center" wrapText="1"/>
    </xf>
    <xf numFmtId="164" fontId="1" fillId="6" borderId="0" applyAlignment="1" pivotButton="0" quotePrefix="0" xfId="0">
      <alignment vertical="center" wrapText="1"/>
    </xf>
    <xf numFmtId="164" fontId="1" fillId="6" borderId="1" applyAlignment="1" pivotButton="0" quotePrefix="0" xfId="0">
      <alignment vertical="center" wrapText="1"/>
    </xf>
    <xf numFmtId="0" fontId="1" fillId="5" borderId="0" applyAlignment="1" pivotButton="0" quotePrefix="0" xfId="0">
      <alignment vertical="center" wrapText="1"/>
    </xf>
    <xf numFmtId="0" fontId="7" fillId="5" borderId="0" applyAlignment="1" pivotButton="0" quotePrefix="0" xfId="0">
      <alignment vertical="center" wrapText="1"/>
    </xf>
    <xf numFmtId="0" fontId="1" fillId="5" borderId="1" applyAlignment="1" pivotButton="0" quotePrefix="0" xfId="0">
      <alignment vertical="center" wrapText="1"/>
    </xf>
    <xf numFmtId="0" fontId="7" fillId="5" borderId="1" applyAlignment="1" pivotButton="0" quotePrefix="0" xfId="0">
      <alignment vertical="center" wrapText="1"/>
    </xf>
    <xf numFmtId="166" fontId="7" fillId="5" borderId="0" applyAlignment="1" pivotButton="0" quotePrefix="0" xfId="0">
      <alignment vertical="center" wrapText="1"/>
    </xf>
    <xf numFmtId="166" fontId="7" fillId="5" borderId="1" applyAlignment="1" pivotButton="0" quotePrefix="0" xfId="0">
      <alignment vertical="center" wrapText="1"/>
    </xf>
    <xf numFmtId="167" fontId="1" fillId="6" borderId="0" applyAlignment="1" pivotButton="0" quotePrefix="0" xfId="0">
      <alignment vertical="center" wrapText="1"/>
    </xf>
    <xf numFmtId="167" fontId="1" fillId="6" borderId="1" applyAlignment="1" pivotButton="0" quotePrefix="0" xfId="0">
      <alignment vertical="center" wrapText="1"/>
    </xf>
    <xf numFmtId="0" fontId="8" fillId="4" borderId="0" applyAlignment="1" pivotButton="0" quotePrefix="0" xfId="0">
      <alignment vertical="center" wrapText="1"/>
    </xf>
    <xf numFmtId="0" fontId="8" fillId="4" borderId="1" applyAlignment="1" pivotButton="0" quotePrefix="0" xfId="0">
      <alignment vertical="center" wrapText="1"/>
    </xf>
    <xf numFmtId="164" fontId="8" fillId="4" borderId="0" applyAlignment="1" pivotButton="0" quotePrefix="0" xfId="0">
      <alignment vertical="center" wrapText="1"/>
    </xf>
    <xf numFmtId="164" fontId="8" fillId="4" borderId="1" applyAlignment="1" pivotButton="0" quotePrefix="0" xfId="0">
      <alignment vertical="center" wrapText="1"/>
    </xf>
    <xf numFmtId="164" fontId="7" fillId="5" borderId="0" applyAlignment="1" pivotButton="0" quotePrefix="0" xfId="0">
      <alignment vertical="center" wrapText="1"/>
    </xf>
    <xf numFmtId="164" fontId="7" fillId="5" borderId="1" applyAlignment="1" pivotButton="0" quotePrefix="0" xfId="0">
      <alignment vertical="center" wrapText="1"/>
    </xf>
    <xf numFmtId="4" fontId="7" fillId="5" borderId="0" applyAlignment="1" pivotButton="0" quotePrefix="0" xfId="0">
      <alignment vertical="center" wrapText="1"/>
    </xf>
    <xf numFmtId="4" fontId="7" fillId="5" borderId="1" applyAlignment="1" pivotButton="0" quotePrefix="0" xfId="0">
      <alignment vertical="center" wrapText="1"/>
    </xf>
    <xf numFmtId="4" fontId="7" fillId="6" borderId="0" applyAlignment="1" pivotButton="0" quotePrefix="0" xfId="0">
      <alignment vertical="center" wrapText="1"/>
    </xf>
    <xf numFmtId="4" fontId="1" fillId="6" borderId="0" applyAlignment="1" pivotButton="0" quotePrefix="0" xfId="0">
      <alignment vertical="center" wrapText="1"/>
    </xf>
    <xf numFmtId="4" fontId="7" fillId="6" borderId="1" applyAlignment="1" pivotButton="0" quotePrefix="0" xfId="0">
      <alignment vertical="center" wrapText="1"/>
    </xf>
    <xf numFmtId="4" fontId="1" fillId="6" borderId="1" applyAlignment="1" pivotButton="0" quotePrefix="0" xfId="0">
      <alignment vertical="center" wrapText="1"/>
    </xf>
    <xf numFmtId="49" fontId="7" fillId="5" borderId="0" applyAlignment="1" pivotButton="0" quotePrefix="0" xfId="0">
      <alignment vertical="center" wrapText="1"/>
    </xf>
    <xf numFmtId="49" fontId="7" fillId="5" borderId="1" applyAlignment="1" pivotButton="0" quotePrefix="0" xfId="0">
      <alignment vertical="center" wrapText="1"/>
    </xf>
    <xf numFmtId="165" fontId="1" fillId="6" borderId="0" applyAlignment="1" pivotButton="0" quotePrefix="0" xfId="0">
      <alignment vertical="center" wrapText="1"/>
    </xf>
    <xf numFmtId="165" fontId="1" fillId="6" borderId="1" applyAlignment="1" pivotButton="0" quotePrefix="0" xfId="0">
      <alignment vertical="center" wrapText="1"/>
    </xf>
    <xf numFmtId="0" fontId="5" fillId="4" borderId="0" applyAlignment="1" pivotButton="0" quotePrefix="0" xfId="0">
      <alignment vertical="center" wrapText="1"/>
    </xf>
    <xf numFmtId="0" fontId="5" fillId="4" borderId="1" applyAlignment="1" pivotButton="0" quotePrefix="0" xfId="0">
      <alignment vertical="center" wrapText="1"/>
    </xf>
    <xf numFmtId="0" fontId="1" fillId="7" borderId="0" applyAlignment="1" pivotButton="0" quotePrefix="0" xfId="0">
      <alignment vertical="center" wrapText="1"/>
    </xf>
    <xf numFmtId="0" fontId="9" fillId="7" borderId="0" applyAlignment="1" pivotButton="0" quotePrefix="0" xfId="0">
      <alignment vertical="center" wrapText="1"/>
    </xf>
    <xf numFmtId="0" fontId="1" fillId="7" borderId="1" applyAlignment="1" pivotButton="0" quotePrefix="0" xfId="0">
      <alignment vertical="center" wrapText="1"/>
    </xf>
    <xf numFmtId="0" fontId="9" fillId="7" borderId="1" applyAlignment="1" pivotButton="0" quotePrefix="0" xfId="0">
      <alignment vertical="center" wrapText="1"/>
    </xf>
    <xf numFmtId="0" fontId="10" fillId="4" borderId="0" applyAlignment="1" pivotButton="0" quotePrefix="0" xfId="0">
      <alignment vertical="center" wrapText="1"/>
    </xf>
    <xf numFmtId="0" fontId="10" fillId="4" borderId="1" applyAlignment="1" pivotButton="0" quotePrefix="0" xfId="0">
      <alignment vertical="center" wrapText="1"/>
    </xf>
    <xf numFmtId="164" fontId="10" fillId="4" borderId="0" applyAlignment="1" pivotButton="0" quotePrefix="0" xfId="0">
      <alignment vertical="center" wrapText="1"/>
    </xf>
    <xf numFmtId="164" fontId="10" fillId="4" borderId="1" applyAlignment="1" pivotButton="0" quotePrefix="0" xfId="0">
      <alignment vertical="center" wrapText="1"/>
    </xf>
    <xf numFmtId="167" fontId="10" fillId="4" borderId="0" applyAlignment="1" pivotButton="0" quotePrefix="0" xfId="0">
      <alignment vertical="center" wrapText="1"/>
    </xf>
    <xf numFmtId="167" fontId="10" fillId="4" borderId="1" applyAlignment="1" pivotButton="0" quotePrefix="0" xfId="0">
      <alignment vertical="center" wrapText="1"/>
    </xf>
    <xf numFmtId="0" fontId="3" fillId="6" borderId="0" applyAlignment="1" pivotButton="0" quotePrefix="0" xfId="0">
      <alignment vertical="center" wrapText="1"/>
    </xf>
    <xf numFmtId="0" fontId="3" fillId="6" borderId="1" applyAlignment="1" pivotButton="0" quotePrefix="0" xfId="0">
      <alignment vertical="center" wrapText="1"/>
    </xf>
    <xf numFmtId="164" fontId="5" fillId="2" borderId="0" applyAlignment="1" pivotButton="0" quotePrefix="0" xfId="0">
      <alignment vertical="center" wrapText="1"/>
    </xf>
    <xf numFmtId="164" fontId="5" fillId="2" borderId="1" applyAlignment="1" pivotButton="0" quotePrefix="0" xfId="0">
      <alignment vertical="center" wrapText="1"/>
    </xf>
    <xf numFmtId="167" fontId="1" fillId="2" borderId="0" applyAlignment="1" pivotButton="0" quotePrefix="0" xfId="0">
      <alignment vertical="center" wrapText="1"/>
    </xf>
    <xf numFmtId="167" fontId="1" fillId="2" borderId="1" applyAlignment="1" pivotButton="0" quotePrefix="0" xfId="0">
      <alignment vertical="center" wrapText="1"/>
    </xf>
    <xf numFmtId="0" fontId="11" fillId="4" borderId="0" applyAlignment="1" pivotButton="0" quotePrefix="0" xfId="0">
      <alignment vertical="center" wrapText="1"/>
    </xf>
    <xf numFmtId="0" fontId="11" fillId="4" borderId="1" applyAlignment="1" pivotButton="0" quotePrefix="0" xfId="0">
      <alignment vertical="center" wrapText="1"/>
    </xf>
    <xf numFmtId="164" fontId="11" fillId="4" borderId="0" applyAlignment="1" pivotButton="0" quotePrefix="0" xfId="0">
      <alignment vertical="center" wrapText="1"/>
    </xf>
    <xf numFmtId="164" fontId="11" fillId="4" borderId="1" applyAlignment="1" pivotButton="0" quotePrefix="0" xfId="0">
      <alignment vertical="center" wrapText="1"/>
    </xf>
    <xf numFmtId="9" fontId="5" fillId="6" borderId="0" applyAlignment="1" pivotButton="0" quotePrefix="0" xfId="0">
      <alignment vertical="center" wrapText="1"/>
    </xf>
    <xf numFmtId="9" fontId="5" fillId="2" borderId="0" applyAlignment="1" pivotButton="0" quotePrefix="0" xfId="0">
      <alignment vertical="center" wrapText="1"/>
    </xf>
    <xf numFmtId="9" fontId="5" fillId="6" borderId="1" applyAlignment="1" pivotButton="0" quotePrefix="0" xfId="0">
      <alignment vertical="center" wrapText="1"/>
    </xf>
    <xf numFmtId="9" fontId="5" fillId="2" borderId="1" applyAlignment="1" pivotButton="0" quotePrefix="0" xfId="0">
      <alignment vertical="center" wrapText="1"/>
    </xf>
    <xf numFmtId="0" fontId="8" fillId="6" borderId="0" applyAlignment="1" pivotButton="0" quotePrefix="0" xfId="0">
      <alignment vertical="center" wrapText="1"/>
    </xf>
    <xf numFmtId="0" fontId="8" fillId="6" borderId="1" applyAlignment="1" pivotButton="0" quotePrefix="0" xfId="0">
      <alignment vertical="center" wrapText="1"/>
    </xf>
    <xf numFmtId="167" fontId="1" fillId="2" borderId="0" applyAlignment="1" pivotButton="0" quotePrefix="0" xfId="0">
      <alignment horizontal="center" vertical="center" wrapText="1"/>
    </xf>
    <xf numFmtId="167" fontId="1" fillId="2" borderId="1" applyAlignment="1" pivotButton="0" quotePrefix="0" xfId="0">
      <alignment horizontal="center" vertical="center" wrapText="1"/>
    </xf>
    <xf numFmtId="9" fontId="5" fillId="6" borderId="0" applyAlignment="1" pivotButton="0" quotePrefix="0" xfId="0">
      <alignment horizontal="center" vertical="center" wrapText="1"/>
    </xf>
    <xf numFmtId="9" fontId="5" fillId="2" borderId="0" applyAlignment="1" pivotButton="0" quotePrefix="0" xfId="0">
      <alignment horizontal="center" vertical="center" wrapText="1"/>
    </xf>
    <xf numFmtId="9" fontId="5" fillId="6" borderId="1" applyAlignment="1" pivotButton="0" quotePrefix="0" xfId="0">
      <alignment horizontal="center" vertical="center" wrapText="1"/>
    </xf>
    <xf numFmtId="9" fontId="5" fillId="2" borderId="1" applyAlignment="1" pivotButton="0" quotePrefix="0" xfId="0">
      <alignment horizontal="center" vertical="center" wrapText="1"/>
    </xf>
    <xf numFmtId="167" fontId="5" fillId="6" borderId="0" applyAlignment="1" pivotButton="0" quotePrefix="0" xfId="0">
      <alignment vertical="center" wrapText="1"/>
    </xf>
    <xf numFmtId="167" fontId="5" fillId="6" borderId="1" applyAlignment="1" pivotButton="0" quotePrefix="0" xfId="0">
      <alignment vertical="center" wrapText="1"/>
    </xf>
    <xf numFmtId="0" fontId="1" fillId="6" borderId="0" applyAlignment="1" pivotButton="0" quotePrefix="0" xfId="0">
      <alignment horizontal="center" vertical="center" wrapText="1"/>
    </xf>
    <xf numFmtId="165" fontId="1" fillId="6" borderId="0" applyAlignment="1" pivotButton="0" quotePrefix="0" xfId="0">
      <alignment horizontal="center" vertical="center" wrapText="1"/>
    </xf>
    <xf numFmtId="0" fontId="12" fillId="0" borderId="0" pivotButton="0" quotePrefix="0" xfId="0"/>
    <xf numFmtId="0" fontId="13" fillId="0" borderId="0" pivotButton="0" quotePrefix="0" xfId="0"/>
    <xf numFmtId="0" fontId="0" fillId="8" borderId="0" pivotButton="0" quotePrefix="0" xfId="0"/>
    <xf numFmtId="0" fontId="14" fillId="8" borderId="0" pivotButton="0" quotePrefix="0" xfId="0"/>
    <xf numFmtId="168" fontId="0" fillId="0" borderId="0" pivotButton="0" quotePrefix="0" xfId="0"/>
    <xf numFmtId="3" fontId="0" fillId="0" borderId="0" pivotButton="0" quotePrefix="0" xfId="0"/>
    <xf numFmtId="166" fontId="0" fillId="0" borderId="0" pivotButton="0" quotePrefix="0" xfId="0"/>
    <xf numFmtId="166" fontId="0" fillId="9" borderId="0" pivotButton="0" quotePrefix="0" xfId="0"/>
    <xf numFmtId="0" fontId="0" fillId="9" borderId="0" pivotButton="0" quotePrefix="0" xfId="0"/>
    <xf numFmtId="3" fontId="0" fillId="9" borderId="0" pivotButton="0" quotePrefix="0" xfId="0"/>
    <xf numFmtId="0" fontId="15" fillId="0" borderId="0" pivotButton="0" quotePrefix="0" xfId="0"/>
    <xf numFmtId="0" fontId="15" fillId="9" borderId="0" pivotButton="0" quotePrefix="0" xfId="0"/>
    <xf numFmtId="164" fontId="10" fillId="4" borderId="1" applyAlignment="1" pivotButton="0" quotePrefix="0" xfId="0">
      <alignment vertical="center" wrapText="1"/>
    </xf>
    <xf numFmtId="167" fontId="10" fillId="4" borderId="1" applyAlignment="1" pivotButton="0" quotePrefix="0" xfId="0">
      <alignment vertical="center" wrapText="1"/>
    </xf>
    <xf numFmtId="167" fontId="1" fillId="2" borderId="0" applyAlignment="1" pivotButton="0" quotePrefix="0" xfId="0">
      <alignment horizontal="center" vertical="center" wrapText="1"/>
    </xf>
    <xf numFmtId="164" fontId="5" fillId="6" borderId="1" applyAlignment="1" pivotButton="0" quotePrefix="0" xfId="0">
      <alignment vertical="center" wrapText="1"/>
    </xf>
    <xf numFmtId="164" fontId="5" fillId="2" borderId="1" applyAlignment="1" pivotButton="0" quotePrefix="0" xfId="0">
      <alignment vertical="center" wrapText="1"/>
    </xf>
    <xf numFmtId="164" fontId="11" fillId="4" borderId="1" applyAlignment="1" pivotButton="0" quotePrefix="0" xfId="0">
      <alignment vertical="center" wrapText="1"/>
    </xf>
    <xf numFmtId="9" fontId="5" fillId="6" borderId="1" applyAlignment="1" pivotButton="0" quotePrefix="0" xfId="0">
      <alignment horizontal="center" vertical="center" wrapText="1"/>
    </xf>
    <xf numFmtId="9" fontId="5" fillId="2" borderId="1" applyAlignment="1" pivotButton="0" quotePrefix="0" xfId="0">
      <alignment horizontal="center" vertical="center" wrapText="1"/>
    </xf>
    <xf numFmtId="164" fontId="6" fillId="5" borderId="1" applyAlignment="1" pivotButton="0" quotePrefix="0" xfId="0">
      <alignment vertical="center" wrapText="1"/>
    </xf>
    <xf numFmtId="167" fontId="5" fillId="6" borderId="1" applyAlignment="1" pivotButton="0" quotePrefix="0" xfId="0">
      <alignment vertical="center" wrapText="1"/>
    </xf>
    <xf numFmtId="165" fontId="6" fillId="5" borderId="1" applyAlignment="1" pivotButton="0" quotePrefix="0" xfId="0">
      <alignment vertical="center" wrapText="1"/>
    </xf>
    <xf numFmtId="166" fontId="6" fillId="5" borderId="1" applyAlignment="1" pivotButton="0" quotePrefix="0" xfId="0">
      <alignment vertical="center" wrapText="1"/>
    </xf>
    <xf numFmtId="164" fontId="1" fillId="6" borderId="0" applyAlignment="1" pivotButton="0" quotePrefix="0" xfId="0">
      <alignment vertical="center" wrapText="1"/>
    </xf>
    <xf numFmtId="167" fontId="1" fillId="6" borderId="0" applyAlignment="1" pivotButton="0" quotePrefix="0" xfId="0">
      <alignment vertical="center" wrapText="1"/>
    </xf>
    <xf numFmtId="166" fontId="7" fillId="5" borderId="0" applyAlignment="1" pivotButton="0" quotePrefix="0" xfId="0">
      <alignment vertical="center" wrapText="1"/>
    </xf>
    <xf numFmtId="164" fontId="8" fillId="4" borderId="1" applyAlignment="1" pivotButton="0" quotePrefix="0" xfId="0">
      <alignment vertical="center" wrapText="1"/>
    </xf>
    <xf numFmtId="164" fontId="7" fillId="5" borderId="0" applyAlignment="1" pivotButton="0" quotePrefix="0" xfId="0">
      <alignment vertical="center" wrapText="1"/>
    </xf>
    <xf numFmtId="4" fontId="1" fillId="6" borderId="0" applyAlignment="1" pivotButton="0" quotePrefix="0" xfId="0">
      <alignment vertical="center" wrapText="1"/>
    </xf>
    <xf numFmtId="49" fontId="7" fillId="5" borderId="0" applyAlignment="1" pivotButton="0" quotePrefix="0" xfId="0">
      <alignment vertical="center" wrapText="1"/>
    </xf>
    <xf numFmtId="4" fontId="7" fillId="5" borderId="0" applyAlignment="1" pivotButton="0" quotePrefix="0" xfId="0">
      <alignment vertical="center" wrapText="1"/>
    </xf>
    <xf numFmtId="165" fontId="1" fillId="6" borderId="0" applyAlignment="1" pivotButton="0" quotePrefix="0" xfId="0">
      <alignment horizontal="center" vertical="center" wrapText="1"/>
    </xf>
    <xf numFmtId="166" fontId="0" fillId="9" borderId="0" pivotButton="0" quotePrefix="0" xfId="0"/>
    <xf numFmtId="3" fontId="0" fillId="9" borderId="0" pivotButton="0" quotePrefix="0" xfId="0"/>
    <xf numFmtId="168" fontId="0" fillId="0" borderId="0" pivotButton="0" quotePrefix="0" xfId="0"/>
    <xf numFmtId="3" fontId="0" fillId="0" borderId="0" pivotButton="0" quotePrefix="0" xfId="0"/>
    <xf numFmtId="0" fontId="16" fillId="0" borderId="2" applyAlignment="1" pivotButton="0" quotePrefix="0" xfId="0">
      <alignment horizontal="center" vertical="center"/>
    </xf>
    <xf numFmtId="0" fontId="16" fillId="0" borderId="2" applyAlignment="1" pivotButton="0" quotePrefix="0" xfId="0">
      <alignment horizontal="left" vertical="center"/>
    </xf>
    <xf numFmtId="0" fontId="16" fillId="9" borderId="2" applyAlignment="1" pivotButton="0" quotePrefix="0" xfId="0">
      <alignment horizontal="center" vertical="center"/>
    </xf>
    <xf numFmtId="0" fontId="17" fillId="0" borderId="2" applyAlignment="1" pivotButton="0" quotePrefix="0" xfId="0">
      <alignment horizontal="center" vertical="center"/>
    </xf>
    <xf numFmtId="0" fontId="17" fillId="0" borderId="2" applyAlignment="1" pivotButton="0" quotePrefix="0" xfId="0">
      <alignment horizontal="left" vertical="center"/>
    </xf>
  </cellXfs>
  <cellStyles count="1">
    <cellStyle name="Normal" xfId="0"/>
  </cellStyles>
  <dxfs count="10">
    <dxf>
      <font>
        <color rgb="FF205E3A"/>
      </font>
      <fill>
        <patternFill>
          <bgColor rgb="FFDFF1E6"/>
        </patternFill>
      </fill>
    </dxf>
    <dxf>
      <font>
        <color rgb="FF915D13"/>
      </font>
      <fill>
        <patternFill>
          <bgColor rgb="FFFFF0D4"/>
        </patternFill>
      </fill>
    </dxf>
    <dxf>
      <font>
        <color rgb="FFA13428"/>
      </font>
      <fill>
        <patternFill>
          <bgColor rgb="FFFDE6E3"/>
        </patternFill>
      </fill>
    </dxf>
    <dxf>
      <font>
        <color rgb="FFA13428"/>
      </font>
      <fill>
        <patternFill>
          <bgColor rgb="FFFDE6E3"/>
        </patternFill>
      </fill>
    </dxf>
    <dxf>
      <font>
        <color rgb="FF915D13"/>
      </font>
      <fill>
        <patternFill>
          <bgColor rgb="FFFFF0D4"/>
        </patternFill>
      </fill>
    </dxf>
    <dxf>
      <fill>
        <patternFill>
          <bgColor rgb="FFFDE6E3"/>
        </patternFill>
      </fill>
    </dxf>
    <dxf>
      <font>
        <color rgb="FF205E3A"/>
      </font>
      <fill>
        <patternFill>
          <bgColor rgb="FFDFF1E6"/>
        </patternFill>
      </fill>
    </dxf>
    <dxf>
      <font>
        <color rgb="FF915D13"/>
      </font>
      <fill>
        <patternFill>
          <bgColor rgb="FFFFF0D4"/>
        </patternFill>
      </fill>
    </dxf>
    <dxf>
      <font>
        <color rgb="FF205E3A"/>
      </font>
      <fill>
        <patternFill>
          <bgColor rgb="FFDFF1E6"/>
        </patternFill>
      </fill>
    </dxf>
    <dxf>
      <font>
        <color rgb="FF915D13"/>
      </font>
      <fill>
        <patternFill>
          <bgColor rgb="FFFFF0D4"/>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ables/table1.xml><?xml version="1.0" encoding="utf-8"?>
<table xmlns="http://schemas.openxmlformats.org/spreadsheetml/2006/main" id="1" name="StagePlan" displayName="StagePlan" ref="A6:N11" headerRowCount="1" totalsRowCount="0" totalsRowShown="0">
  <tableColumns count="14">
    <tableColumn id="1" name="Mã"/>
    <tableColumn id="2" name="Giai đoạn"/>
    <tableColumn id="3" name="Ngày tham chiếu"/>
    <tableColumn id="4" name="Ngày bắt đầu"/>
    <tableColumn id="5" name="Ngày kết thúc"/>
    <tableColumn id="6" name="Khung đề xuất/ngày"/>
    <tableColumn id="7" name="Khung tối đa/chu kỳ"/>
    <tableColumn id="8" name="Trong đó: cơ sở"/>
    <tableColumn id="9" name="Trong đó: dự phòng"/>
    <tableColumn id="10" name="Phê duyệt"/>
    <tableColumn id="11" name="Ngày hợp lệ đã ghi nhận"/>
    <tableColumn id="12" name="Thực chi quảng cáo"/>
    <tableColumn id="13" name="Phần khung chưa dùng"/>
    <tableColumn id="14" name="Trọng tâm / bước tiếp theo"/>
  </tableColumns>
  <tableStyleInfo name="TableStyleMedium2" showFirstColumn="0" showLastColumn="0" showRowStripes="1" showColumnStripes="0"/>
</table>
</file>

<file path=xl/tables/table2.xml><?xml version="1.0" encoding="utf-8"?>
<table xmlns="http://schemas.openxmlformats.org/spreadsheetml/2006/main" id="2" name="DailySpend" displayName="DailySpend" ref="A6:S96" headerRowCount="1" totalsRowCount="0" totalsRowShown="0">
  <tableColumns count="19">
    <tableColumn id="1" name="Ngày chạy"/>
    <tableColumn id="2" name="Giai đoạn"/>
    <tableColumn id="3" name="Xác nhận ngày"/>
    <tableColumn id="4" name="Khung đề xuất/ngày"/>
    <tableColumn id="5" name="Thực chi LinkedIn"/>
    <tableColumn id="6" name="Thực chi Search"/>
    <tableColumn id="7" name="Thực chi tiếp thị lại"/>
    <tableColumn id="8" name="Thử nghiệm khác"/>
    <tableColumn id="9" name="Tổng chi quảng cáo"/>
    <tableColumn id="10" name="Trong đó: dự phòng đã dùng"/>
    <tableColumn id="11" name="Dự phòng còn giữ"/>
    <tableColumn id="12" name="Chênh lệch so với khung/ngày"/>
    <tableColumn id="13" name="Thuế/phí thực tế"/>
    <tableColumn id="14" name="Tổng chi gồm thuế/phí"/>
    <tableColumn id="15" name="Phê duyệt giai đoạn"/>
    <tableColumn id="16" name="Nội dung cần rà soát"/>
    <tableColumn id="17" name="Lý do dùng dự phòng / ghi chú"/>
    <tableColumn id="18" name="Hồ sơ / bằng chứng"/>
    <tableColumn id="19" name="Ngày được tính (0/1)"/>
  </tableColumns>
  <tableStyleInfo name="TableStyleMedium2" showFirstColumn="0" showLastColumn="0" showRowStripes="1" showColumnStripes="0"/>
</table>
</file>

<file path=xl/tables/table3.xml><?xml version="1.0" encoding="utf-8"?>
<table xmlns="http://schemas.openxmlformats.org/spreadsheetml/2006/main" id="3" name="ReviewEvidence" displayName="ReviewEvidence" ref="A6:J126" headerRowCount="1" totalsRowCount="0" totalsRowShown="0">
  <tableColumns count="10">
    <tableColumn id="1" name="Kỳ"/>
    <tableColumn id="2" name="Tiêu chí"/>
    <tableColumn id="3" name="Ngày đánh giá"/>
    <tableColumn id="4" name="Mốc đối chiếu / tổng quan sát"/>
    <tableColumn id="5" name="Kỳ hiện tại / đúng chủ đề"/>
    <tableColumn id="6" name="Kết quả tính"/>
    <tableColumn id="7" name="Mốc tham chiếu"/>
    <tableColumn id="8" name="Nhận định sơ bộ"/>
    <tableColumn id="9" name="Bằng chứng / nguồn đối chiếu"/>
    <tableColumn id="10" name="Ghi chú / định nghĩa chỉ số"/>
  </tableColumns>
  <tableStyleInfo name="TableStyleMedium2" showFirstColumn="0" showLastColumn="0" showRowStripes="1" showColumnStripes="0"/>
</table>
</file>

<file path=xl/tables/table4.xml><?xml version="1.0" encoding="utf-8"?>
<table xmlns="http://schemas.openxmlformats.org/spreadsheetml/2006/main" id="4" name="WeeklyReport" displayName="WeeklyReport" ref="A6:O18" headerRowCount="1" totalsRowCount="0" totalsRowShown="0">
  <tableColumns count="15">
    <tableColumn id="1" name="Kỳ"/>
    <tableColumn id="2" name="Giai đoạn"/>
    <tableColumn id="3" name="Từ ngày"/>
    <tableColumn id="4" name="Đến ngày"/>
    <tableColumn id="5" name="Ngày hợp lệ"/>
    <tableColumn id="6" name="Chi quảng cáo"/>
    <tableColumn id="7" name="Thuế/phí"/>
    <tableColumn id="8" name="Tổng gồm thuế/phí"/>
    <tableColumn id="9" name="Dự phòng còn giữ"/>
    <tableColumn id="10" name="Nhóm đã tiếp cận"/>
    <tableColumn id="11" name="Mức độ quan tâm thực tế"/>
    <tableColumn id="12" name="Nội dung rút ra"/>
    <tableColumn id="13" name="Đề xuất kỳ tiếp theo"/>
    <tableColumn id="14" name="Cơ sở quyết định / bằng chứng"/>
    <tableColumn id="15" name="Kiểm tra kỳ báo cáo"/>
  </tableColumns>
  <tableStyleInfo name="TableStyleMedium2" showFirstColumn="0" showLastColumn="0" showRowStripes="1" showColumnStripes="0"/>
</table>
</file>

<file path=xl/tables/table5.xml><?xml version="1.0" encoding="utf-8"?>
<table xmlns="http://schemas.openxmlformats.org/spreadsheetml/2006/main" id="5" name="LaunchChecklist" displayName="LaunchChecklist" ref="A6:H22" headerRowCount="1" totalsRowCount="0" totalsRowShown="0">
  <tableColumns count="8">
    <tableColumn id="1" name="STT"/>
    <tableColumn id="2" name="Hạng mục"/>
    <tableColumn id="3" name="Nội dung xác nhận"/>
    <tableColumn id="4" name="Trạng thái"/>
    <tableColumn id="5" name="Phụ trách"/>
    <tableColumn id="6" name="Ngày dự kiến"/>
    <tableColumn id="7" name="Ngày xác nhận"/>
    <tableColumn id="8" name="Bằng chứng / ghi chú"/>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table" Target="/xl/tables/table1.xml" Id="rId1" /></Relationships>
</file>

<file path=xl/worksheets/_rels/sheet4.xml.rels><Relationships xmlns="http://schemas.openxmlformats.org/package/2006/relationships"><Relationship Type="http://schemas.openxmlformats.org/officeDocument/2006/relationships/table" Target="/xl/tables/table2.xml" Id="rId1" /></Relationships>
</file>

<file path=xl/worksheets/_rels/sheet5.xml.rels><Relationships xmlns="http://schemas.openxmlformats.org/package/2006/relationships"><Relationship Type="http://schemas.openxmlformats.org/officeDocument/2006/relationships/table" Target="/xl/tables/table3.xml" Id="rId1" /></Relationships>
</file>

<file path=xl/worksheets/_rels/sheet6.xml.rels><Relationships xmlns="http://schemas.openxmlformats.org/package/2006/relationships"><Relationship Type="http://schemas.openxmlformats.org/officeDocument/2006/relationships/table" Target="/xl/tables/table4.xml" Id="rId1" /></Relationships>
</file>

<file path=xl/worksheets/_rels/sheet7.xml.rels><Relationships xmlns="http://schemas.openxmlformats.org/package/2006/relationships"><Relationship Type="http://schemas.openxmlformats.org/officeDocument/2006/relationships/table" Target="/xl/tables/table5.xml" Id="rId1" /></Relationships>
</file>

<file path=xl/worksheets/sheet1.xml><?xml version="1.0" encoding="utf-8"?>
<worksheet xmlns="http://schemas.openxmlformats.org/spreadsheetml/2006/main">
  <sheetPr>
    <outlinePr summaryBelow="1" summaryRight="1"/>
    <pageSetUpPr/>
  </sheetPr>
  <dimension ref="A1:K52"/>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24" customHeight="1">
      <c r="A1" s="13" t="inlineStr">
        <is>
          <t>DIGIWIN | SEMICONDUCTOR PAID</t>
        </is>
      </c>
      <c r="B1" s="1" t="n"/>
      <c r="C1" s="1" t="n"/>
      <c r="D1" s="1" t="n"/>
      <c r="E1" s="1" t="n"/>
      <c r="F1" s="1" t="n"/>
      <c r="G1" s="1" t="n"/>
      <c r="H1" s="1" t="n"/>
      <c r="I1" s="1" t="n"/>
      <c r="J1" s="1" t="n"/>
      <c r="K1" s="1" t="n"/>
    </row>
    <row r="2" ht="24" customHeight="1">
      <c r="A2" s="1" t="n"/>
      <c r="B2" s="1" t="n"/>
      <c r="C2" s="1" t="n"/>
      <c r="D2" s="1" t="n"/>
      <c r="E2" s="1" t="n"/>
      <c r="F2" s="1" t="n"/>
      <c r="G2" s="1" t="n"/>
      <c r="H2" s="1" t="n"/>
      <c r="I2" s="1" t="n"/>
      <c r="J2" s="1" t="n"/>
      <c r="K2" s="1" t="n"/>
    </row>
    <row r="3" ht="22" customHeight="1">
      <c r="A3" s="17" t="inlineStr">
        <is>
          <t>Đơn vị tiền: VNĐ. Theo dõi đề xuất ngân sách, triển khai và đánh giá. Mục tiêu: xây dựng nhận thức về chuyên môn vận hành ngành bán dẫn trong đúng nhóm doanh nghiệp và vai trò.</t>
        </is>
      </c>
      <c r="B3" s="1" t="n"/>
      <c r="C3" s="1" t="n"/>
      <c r="D3" s="1" t="n"/>
      <c r="E3" s="1" t="n"/>
      <c r="F3" s="1" t="n"/>
      <c r="G3" s="1" t="n"/>
      <c r="H3" s="1" t="n"/>
      <c r="I3" s="1" t="n"/>
      <c r="J3" s="1" t="n"/>
      <c r="K3" s="1" t="n"/>
    </row>
    <row r="4" ht="22" customHeight="1">
      <c r="A4" s="1" t="n"/>
      <c r="B4" s="1" t="n"/>
      <c r="C4" s="1" t="n"/>
      <c r="D4" s="1" t="n"/>
      <c r="E4" s="1" t="n"/>
      <c r="F4" s="1" t="n"/>
      <c r="G4" s="1" t="n"/>
      <c r="H4" s="1" t="n"/>
      <c r="I4" s="1" t="n"/>
      <c r="J4" s="1" t="n"/>
      <c r="K4" s="1" t="n"/>
    </row>
    <row r="5" ht="33" customHeight="1">
      <c r="A5" s="71" t="inlineStr">
        <is>
          <t>KHUNG CƠ BẢN ĐỀ XUẤT / NGÀY</t>
        </is>
      </c>
      <c r="B5" s="1" t="n"/>
      <c r="C5" s="1" t="n"/>
      <c r="D5" s="5" t="n"/>
      <c r="E5" s="71" t="inlineStr">
        <is>
          <t>KHUNG CẤP 2 / DUYỆT RIÊNG</t>
        </is>
      </c>
      <c r="F5" s="1" t="n"/>
      <c r="G5" s="1" t="n"/>
      <c r="H5" s="5" t="n"/>
      <c r="I5" s="71" t="inlineStr">
        <is>
          <t>THỰC CHI QUẢNG CÁO</t>
        </is>
      </c>
      <c r="J5" s="1" t="n"/>
      <c r="K5" s="1" t="n"/>
    </row>
    <row r="6" ht="22" customHeight="1">
      <c r="A6" s="116">
        <f>'01_Thiet_lap'!$D$7</f>
        <v/>
      </c>
      <c r="B6" s="1" t="n"/>
      <c r="C6" s="1" t="n"/>
      <c r="D6" s="5" t="n"/>
      <c r="E6" s="116">
        <f>'01_Thiet_lap'!$D$12</f>
        <v/>
      </c>
      <c r="F6" s="1" t="n"/>
      <c r="G6" s="1" t="n"/>
      <c r="H6" s="5" t="n"/>
      <c r="I6" s="116">
        <f>IF(COUNT('03_Chi_tieu'!$I$7:$I$96)=0,"Chưa ghi nhận",SUM('03_Chi_tieu'!$I$7:$I$96))</f>
        <v/>
      </c>
      <c r="J6" s="1" t="n"/>
      <c r="K6" s="1" t="n"/>
    </row>
    <row r="7" ht="22" customHeight="1">
      <c r="A7" s="1" t="n"/>
      <c r="B7" s="1" t="n"/>
      <c r="C7" s="1" t="n"/>
      <c r="D7" s="5" t="n"/>
      <c r="E7" s="1" t="n"/>
      <c r="F7" s="1" t="n"/>
      <c r="G7" s="1" t="n"/>
      <c r="H7" s="5" t="n"/>
      <c r="I7" s="1" t="n"/>
      <c r="J7" s="1" t="n"/>
      <c r="K7" s="1" t="n"/>
    </row>
    <row r="8" ht="22" customHeight="1">
      <c r="A8" s="5" t="n"/>
      <c r="B8" s="5" t="n"/>
      <c r="C8" s="5" t="n"/>
      <c r="D8" s="5" t="n"/>
      <c r="E8" s="5" t="n"/>
      <c r="F8" s="5" t="n"/>
      <c r="G8" s="5" t="n"/>
      <c r="H8" s="5" t="n"/>
      <c r="I8" s="5" t="n"/>
      <c r="J8" s="5" t="n"/>
      <c r="K8" s="5" t="n"/>
    </row>
    <row r="9" ht="33" customHeight="1">
      <c r="A9" s="71" t="inlineStr">
        <is>
          <t>NGÀY HỢP LỆ ĐÃ GHI NHẬN</t>
        </is>
      </c>
      <c r="B9" s="1" t="n"/>
      <c r="C9" s="1" t="n"/>
      <c r="D9" s="5" t="n"/>
      <c r="E9" s="71" t="inlineStr">
        <is>
          <t>DỰ PHÒNG CÒN GIỮ</t>
        </is>
      </c>
      <c r="F9" s="1" t="n"/>
      <c r="G9" s="1" t="n"/>
      <c r="H9" s="5" t="n"/>
      <c r="I9" s="71" t="inlineStr">
        <is>
          <t>DÒNG CHI CẦN RÀ SOÁT</t>
        </is>
      </c>
      <c r="J9" s="1" t="n"/>
      <c r="K9" s="1" t="n"/>
    </row>
    <row r="10" ht="22" customHeight="1">
      <c r="A10" s="117">
        <f>SUM('03_Chi_tieu'!$S$7:$S$96)</f>
        <v/>
      </c>
      <c r="B10" s="1" t="n"/>
      <c r="C10" s="1" t="n"/>
      <c r="D10" s="5" t="n"/>
      <c r="E10" s="116">
        <f>IF(SUM('03_Chi_tieu'!$S$7:$S$96)=0,"Chưa ghi nhận",IF(COUNT('03_Chi_tieu'!$K$7:$K$96)&lt;SUM('03_Chi_tieu'!$S$7:$S$96),"Chưa đầy đủ",SUM('03_Chi_tieu'!$K$7:$K$96)))</f>
        <v/>
      </c>
      <c r="F10" s="1" t="n"/>
      <c r="G10" s="1" t="n"/>
      <c r="H10" s="5" t="n"/>
      <c r="I10" s="117">
        <f>COUNTIF('03_Chi_tieu'!$P$7:$P$96,"?*")-COUNTIF('03_Chi_tieu'!$P$7:$P$96,"Đã ghi nhận")</f>
        <v/>
      </c>
      <c r="J10" s="1" t="n"/>
      <c r="K10" s="1" t="n"/>
    </row>
    <row r="11" ht="22" customHeight="1">
      <c r="A11" s="1" t="n"/>
      <c r="B11" s="1" t="n"/>
      <c r="C11" s="1" t="n"/>
      <c r="D11" s="5" t="n"/>
      <c r="E11" s="1" t="n"/>
      <c r="F11" s="1" t="n"/>
      <c r="G11" s="1" t="n"/>
      <c r="H11" s="5" t="n"/>
      <c r="I11" s="1" t="n"/>
      <c r="J11" s="1" t="n"/>
      <c r="K11" s="1" t="n"/>
    </row>
    <row r="12" ht="22" customHeight="1">
      <c r="A12" s="5" t="n"/>
      <c r="B12" s="5" t="n"/>
      <c r="C12" s="5" t="n"/>
      <c r="D12" s="5" t="n"/>
      <c r="E12" s="5" t="n"/>
      <c r="F12" s="5" t="n"/>
      <c r="G12" s="5" t="n"/>
      <c r="H12" s="5" t="n"/>
      <c r="I12" s="5" t="n"/>
      <c r="J12" s="5" t="n"/>
      <c r="K12" s="5" t="n"/>
    </row>
    <row r="13" ht="22" customHeight="1">
      <c r="A13" s="79">
        <f>"Phạm vi thuế/phí: "&amp;'01_Thiet_lap'!$D$27&amp;"  |  Bắt đầu: "&amp;IF(ISNUMBER('01_Thiet_lap'!$D$25),TEXT('01_Thiet_lap'!$D$25,"dd/mm/yyyy"),'01_Thiet_lap'!$D$25)&amp;"  |  Kết thúc: "&amp;IF(ISNUMBER('01_Thiet_lap'!$D$26),TEXT('01_Thiet_lap'!$D$26,"dd/mm/yyyy"),'01_Thiet_lap'!$D$26)</f>
        <v/>
      </c>
      <c r="B13" s="1" t="n"/>
      <c r="C13" s="1" t="n"/>
      <c r="D13" s="1" t="n"/>
      <c r="E13" s="1" t="n"/>
      <c r="F13" s="1" t="n"/>
      <c r="G13" s="1" t="n"/>
      <c r="H13" s="1" t="n"/>
      <c r="I13" s="1" t="n"/>
      <c r="J13" s="1" t="n"/>
      <c r="K13" s="1" t="n"/>
    </row>
    <row r="14" ht="22" customHeight="1">
      <c r="A14" s="1" t="n"/>
      <c r="B14" s="1" t="n"/>
      <c r="C14" s="1" t="n"/>
      <c r="D14" s="1" t="n"/>
      <c r="E14" s="1" t="n"/>
      <c r="F14" s="1" t="n"/>
      <c r="G14" s="1" t="n"/>
      <c r="H14" s="1" t="n"/>
      <c r="I14" s="1" t="n"/>
      <c r="J14" s="1" t="n"/>
      <c r="K14" s="1" t="n"/>
    </row>
    <row r="15" ht="22" customHeight="1">
      <c r="A15" s="5" t="n"/>
      <c r="B15" s="5" t="n"/>
      <c r="C15" s="5" t="n"/>
      <c r="D15" s="5" t="n"/>
      <c r="E15" s="5" t="n"/>
      <c r="F15" s="5" t="n"/>
      <c r="G15" s="5" t="n"/>
      <c r="H15" s="5" t="n"/>
      <c r="I15" s="5" t="n"/>
      <c r="J15" s="5" t="n"/>
      <c r="K15" s="5" t="n"/>
    </row>
    <row r="16" ht="38" customHeight="1">
      <c r="A16" s="18" t="inlineStr">
        <is>
          <t>Mã</t>
        </is>
      </c>
      <c r="B16" s="19" t="inlineStr">
        <is>
          <t>Giai đoạn</t>
        </is>
      </c>
      <c r="C16" s="1" t="n"/>
      <c r="D16" s="1" t="n"/>
      <c r="E16" s="19" t="inlineStr">
        <is>
          <t>Phê duyệt</t>
        </is>
      </c>
      <c r="F16" s="1" t="n"/>
      <c r="G16" s="18" t="inlineStr">
        <is>
          <t>Hợp lệ</t>
        </is>
      </c>
      <c r="H16" s="18" t="inlineStr">
        <is>
          <t>Mốc ngày</t>
        </is>
      </c>
      <c r="I16" s="19" t="inlineStr">
        <is>
          <t>Thực chi quảng cáo</t>
        </is>
      </c>
      <c r="J16" s="1" t="n"/>
      <c r="K16" s="1" t="n"/>
    </row>
    <row r="17" ht="40" customHeight="1">
      <c r="A17" s="5">
        <f>'02_Lo_trinh'!A7</f>
        <v/>
      </c>
      <c r="B17" s="29">
        <f>'02_Lo_trinh'!B7</f>
        <v/>
      </c>
      <c r="C17" s="1" t="n"/>
      <c r="D17" s="1" t="n"/>
      <c r="E17" s="29">
        <f>'02_Lo_trinh'!J7</f>
        <v/>
      </c>
      <c r="F17" s="1" t="n"/>
      <c r="G17" s="118">
        <f>'02_Lo_trinh'!K7</f>
        <v/>
      </c>
      <c r="H17" s="118">
        <f>'02_Lo_trinh'!C7</f>
        <v/>
      </c>
      <c r="I17" s="119">
        <f>IF(ISNUMBER('02_Lo_trinh'!L7),'02_Lo_trinh'!L7,"Chưa ghi nhận")</f>
        <v/>
      </c>
      <c r="J17" s="1" t="n"/>
      <c r="K17" s="1" t="n"/>
    </row>
    <row r="18" ht="40" customHeight="1">
      <c r="A18" s="5">
        <f>'02_Lo_trinh'!A8</f>
        <v/>
      </c>
      <c r="B18" s="21">
        <f>'02_Lo_trinh'!B8</f>
        <v/>
      </c>
      <c r="C18" s="1" t="n"/>
      <c r="D18" s="1" t="n"/>
      <c r="E18" s="21">
        <f>'02_Lo_trinh'!J8</f>
        <v/>
      </c>
      <c r="F18" s="1" t="n"/>
      <c r="G18" s="118">
        <f>'02_Lo_trinh'!K8</f>
        <v/>
      </c>
      <c r="H18" s="118">
        <f>'02_Lo_trinh'!C8</f>
        <v/>
      </c>
      <c r="I18" s="120">
        <f>IF(ISNUMBER('02_Lo_trinh'!L8),'02_Lo_trinh'!L8,"Chưa ghi nhận")</f>
        <v/>
      </c>
      <c r="J18" s="1" t="n"/>
      <c r="K18" s="1" t="n"/>
    </row>
    <row r="19" ht="40" customHeight="1">
      <c r="A19" s="5">
        <f>'02_Lo_trinh'!A9</f>
        <v/>
      </c>
      <c r="B19" s="29">
        <f>'02_Lo_trinh'!B9</f>
        <v/>
      </c>
      <c r="C19" s="1" t="n"/>
      <c r="D19" s="1" t="n"/>
      <c r="E19" s="29">
        <f>'02_Lo_trinh'!J9</f>
        <v/>
      </c>
      <c r="F19" s="1" t="n"/>
      <c r="G19" s="118">
        <f>'02_Lo_trinh'!K9</f>
        <v/>
      </c>
      <c r="H19" s="118">
        <f>'02_Lo_trinh'!C9</f>
        <v/>
      </c>
      <c r="I19" s="119">
        <f>IF(ISNUMBER('02_Lo_trinh'!L9),'02_Lo_trinh'!L9,"Chưa ghi nhận")</f>
        <v/>
      </c>
      <c r="J19" s="1" t="n"/>
      <c r="K19" s="1" t="n"/>
    </row>
    <row r="20" ht="40" customHeight="1">
      <c r="A20" s="5">
        <f>'02_Lo_trinh'!A10</f>
        <v/>
      </c>
      <c r="B20" s="21">
        <f>'02_Lo_trinh'!B10</f>
        <v/>
      </c>
      <c r="C20" s="1" t="n"/>
      <c r="D20" s="1" t="n"/>
      <c r="E20" s="21">
        <f>'02_Lo_trinh'!J10</f>
        <v/>
      </c>
      <c r="F20" s="1" t="n"/>
      <c r="G20" s="118">
        <f>'02_Lo_trinh'!K10</f>
        <v/>
      </c>
      <c r="H20" s="118">
        <f>'02_Lo_trinh'!C10</f>
        <v/>
      </c>
      <c r="I20" s="120">
        <f>IF(ISNUMBER('02_Lo_trinh'!L10),'02_Lo_trinh'!L10,"Chưa ghi nhận")</f>
        <v/>
      </c>
      <c r="J20" s="1" t="n"/>
      <c r="K20" s="1" t="n"/>
    </row>
    <row r="21" ht="40" customHeight="1">
      <c r="A21" s="5">
        <f>'02_Lo_trinh'!A11</f>
        <v/>
      </c>
      <c r="B21" s="29">
        <f>'02_Lo_trinh'!B11</f>
        <v/>
      </c>
      <c r="C21" s="1" t="n"/>
      <c r="D21" s="1" t="n"/>
      <c r="E21" s="29">
        <f>'02_Lo_trinh'!J11</f>
        <v/>
      </c>
      <c r="F21" s="1" t="n"/>
      <c r="G21" s="118">
        <f>'02_Lo_trinh'!K11</f>
        <v/>
      </c>
      <c r="H21" s="118">
        <f>'02_Lo_trinh'!C11</f>
        <v/>
      </c>
      <c r="I21" s="119">
        <f>IF(ISNUMBER('02_Lo_trinh'!L11),'02_Lo_trinh'!L11,"Chưa ghi nhận")</f>
        <v/>
      </c>
      <c r="J21" s="1" t="n"/>
      <c r="K21" s="1" t="n"/>
    </row>
    <row r="22" ht="22" customHeight="1">
      <c r="A22" s="5" t="n"/>
      <c r="B22" s="5" t="n"/>
      <c r="C22" s="5" t="n"/>
      <c r="D22" s="5" t="n"/>
      <c r="E22" s="5" t="n"/>
      <c r="F22" s="5" t="n"/>
      <c r="G22" s="5" t="n"/>
      <c r="H22" s="5" t="n"/>
      <c r="I22" s="5" t="n"/>
      <c r="J22" s="5" t="n"/>
      <c r="K22" s="5" t="n"/>
    </row>
    <row r="23" ht="22" customHeight="1">
      <c r="A23" s="51">
        <f>"Khung tham chiếu đến hết cấp 1 • "&amp;SUM('02_Lo_trinh'!$C$7:$C$10)&amp;" ngày hợp lệ (có điều kiện)"</f>
        <v/>
      </c>
      <c r="B23" s="1" t="n"/>
      <c r="C23" s="1" t="n"/>
      <c r="D23" s="1" t="n"/>
      <c r="E23" s="1" t="n"/>
      <c r="F23" s="1" t="n"/>
      <c r="G23" s="1" t="n"/>
      <c r="H23" s="1" t="n"/>
      <c r="I23" s="121">
        <f>SUM('02_Lo_trinh'!$G$7:$G$10)</f>
        <v/>
      </c>
      <c r="J23" s="1" t="n"/>
      <c r="K23" s="1" t="n"/>
    </row>
    <row r="24" ht="22" customHeight="1">
      <c r="A24" s="1" t="n"/>
      <c r="B24" s="1" t="n"/>
      <c r="C24" s="1" t="n"/>
      <c r="D24" s="1" t="n"/>
      <c r="E24" s="1" t="n"/>
      <c r="F24" s="1" t="n"/>
      <c r="G24" s="1" t="n"/>
      <c r="H24" s="1" t="n"/>
      <c r="I24" s="1" t="n"/>
      <c r="J24" s="1" t="n"/>
      <c r="K24" s="1" t="n"/>
    </row>
    <row r="25" ht="22" customHeight="1">
      <c r="A25" s="5" t="n"/>
      <c r="B25" s="5" t="n"/>
      <c r="C25" s="5" t="n"/>
      <c r="D25" s="5" t="n"/>
      <c r="E25" s="5" t="n"/>
      <c r="F25" s="5" t="n"/>
      <c r="G25" s="5" t="n"/>
      <c r="H25" s="5" t="n"/>
      <c r="I25" s="5" t="n"/>
      <c r="J25" s="5" t="n"/>
      <c r="K25" s="5" t="n"/>
    </row>
    <row r="26" ht="37" customHeight="1">
      <c r="A26" s="19" t="inlineStr">
        <is>
          <t>Phân bổ khởi động</t>
        </is>
      </c>
      <c r="B26" s="1" t="n"/>
      <c r="C26" s="1" t="n"/>
      <c r="D26" s="1" t="n"/>
      <c r="E26" s="19" t="inlineStr">
        <is>
          <t>Dự kiến/ngày</t>
        </is>
      </c>
      <c r="F26" s="1" t="n"/>
      <c r="G26" s="19" t="inlineStr">
        <is>
          <t>Tỷ trọng</t>
        </is>
      </c>
      <c r="H26" s="1" t="n"/>
      <c r="I26" s="19" t="inlineStr">
        <is>
          <t>Thực chi đã ghi nhận</t>
        </is>
      </c>
      <c r="J26" s="1" t="n"/>
      <c r="K26" s="1" t="n"/>
    </row>
    <row r="27" ht="39" customHeight="1">
      <c r="A27" s="29" t="inlineStr">
        <is>
          <t>LinkedIn</t>
        </is>
      </c>
      <c r="B27" s="1" t="n"/>
      <c r="C27" s="1" t="n"/>
      <c r="D27" s="1" t="n"/>
      <c r="E27" s="119">
        <f>'01_Thiet_lap'!$D$8</f>
        <v/>
      </c>
      <c r="F27" s="1" t="n"/>
      <c r="G27" s="122">
        <f>IF('01_Thiet_lap'!$D$7&gt;0,E27/'01_Thiet_lap'!$D$7,"")</f>
        <v/>
      </c>
      <c r="H27" s="1" t="n"/>
      <c r="I27" s="119">
        <f>IF(COUNT('03_Chi_tieu'!$E$7:$E$96)=0,"Chưa ghi nhận",SUM('03_Chi_tieu'!$E$7:$E$96))</f>
        <v/>
      </c>
      <c r="J27" s="1" t="n"/>
      <c r="K27" s="1" t="n"/>
    </row>
    <row r="28" ht="39" customHeight="1">
      <c r="A28" s="21" t="inlineStr">
        <is>
          <t>Google Search</t>
        </is>
      </c>
      <c r="B28" s="1" t="n"/>
      <c r="C28" s="1" t="n"/>
      <c r="D28" s="1" t="n"/>
      <c r="E28" s="120">
        <f>'01_Thiet_lap'!$D$9</f>
        <v/>
      </c>
      <c r="F28" s="1" t="n"/>
      <c r="G28" s="123">
        <f>IF('01_Thiet_lap'!$D$7&gt;0,E28/'01_Thiet_lap'!$D$7,"")</f>
        <v/>
      </c>
      <c r="H28" s="1" t="n"/>
      <c r="I28" s="120">
        <f>IF(COUNT('03_Chi_tieu'!$F$7:$F$96)=0,"Chưa ghi nhận",SUM('03_Chi_tieu'!$F$7:$F$96))</f>
        <v/>
      </c>
      <c r="J28" s="1" t="n"/>
      <c r="K28" s="1" t="n"/>
    </row>
    <row r="29" ht="39" customHeight="1">
      <c r="A29" s="29" t="inlineStr">
        <is>
          <t>Tiếp thị lại</t>
        </is>
      </c>
      <c r="B29" s="1" t="n"/>
      <c r="C29" s="1" t="n"/>
      <c r="D29" s="1" t="n"/>
      <c r="E29" s="119">
        <f>0</f>
        <v/>
      </c>
      <c r="F29" s="1" t="n"/>
      <c r="G29" s="122">
        <f>IF('01_Thiet_lap'!$D$7&gt;0,E29/'01_Thiet_lap'!$D$7,"")</f>
        <v/>
      </c>
      <c r="H29" s="1" t="n"/>
      <c r="I29" s="119">
        <f>IF(COUNT('03_Chi_tieu'!$G$7:$G$96)=0,"Chưa ghi nhận",SUM('03_Chi_tieu'!$G$7:$G$96))</f>
        <v/>
      </c>
      <c r="J29" s="1" t="n"/>
      <c r="K29" s="1" t="n"/>
    </row>
    <row r="30" ht="39" customHeight="1">
      <c r="A30" s="21" t="inlineStr">
        <is>
          <t>Thử nghiệm khác</t>
        </is>
      </c>
      <c r="B30" s="1" t="n"/>
      <c r="C30" s="1" t="n"/>
      <c r="D30" s="1" t="n"/>
      <c r="E30" s="120">
        <f>0</f>
        <v/>
      </c>
      <c r="F30" s="1" t="n"/>
      <c r="G30" s="123">
        <f>IF('01_Thiet_lap'!$D$7&gt;0,E30/'01_Thiet_lap'!$D$7,"")</f>
        <v/>
      </c>
      <c r="H30" s="1" t="n"/>
      <c r="I30" s="120">
        <f>IF(COUNT('03_Chi_tieu'!$H$7:$H$96)=0,"Chưa ghi nhận",SUM('03_Chi_tieu'!$H$7:$H$96))</f>
        <v/>
      </c>
      <c r="J30" s="1" t="n"/>
      <c r="K30" s="1" t="n"/>
    </row>
    <row r="31" ht="39" customHeight="1">
      <c r="A31" s="29" t="inlineStr">
        <is>
          <t>Dự phòng (đã nằm trong chi phí kênh)</t>
        </is>
      </c>
      <c r="B31" s="1" t="n"/>
      <c r="C31" s="1" t="n"/>
      <c r="D31" s="1" t="n"/>
      <c r="E31" s="119">
        <f>'01_Thiet_lap'!$D$10</f>
        <v/>
      </c>
      <c r="F31" s="1" t="n"/>
      <c r="G31" s="122">
        <f>IF('01_Thiet_lap'!$D$7&gt;0,E31/'01_Thiet_lap'!$D$7,"")</f>
        <v/>
      </c>
      <c r="H31" s="1" t="n"/>
      <c r="I31" s="119">
        <f>IF(COUNT('03_Chi_tieu'!$J$7:$J$96)=0,"Chưa ghi nhận",SUM('03_Chi_tieu'!$J$7:$J$96))</f>
        <v/>
      </c>
      <c r="J31" s="1" t="n"/>
      <c r="K31" s="1" t="n"/>
    </row>
    <row r="32" ht="22" customHeight="1">
      <c r="A32" s="5" t="n"/>
      <c r="B32" s="5" t="n"/>
      <c r="C32" s="5" t="n"/>
      <c r="D32" s="5" t="n"/>
      <c r="E32" s="5" t="n"/>
      <c r="F32" s="5" t="n"/>
      <c r="G32" s="5" t="n"/>
      <c r="H32" s="5" t="n"/>
      <c r="I32" s="5" t="n"/>
      <c r="J32" s="5" t="n"/>
      <c r="K32" s="5" t="n"/>
    </row>
    <row r="33" ht="22" customHeight="1">
      <c r="A33" s="17" t="inlineStr">
        <is>
          <t>Dự phòng không phải khoản chi cộng thêm: phần đã dùng nằm trong thực chi của từng kênh. Dự phòng còn giữ chỉ tổng hợp theo ngày hợp lệ có dữ liệu đầy đủ, không mặc định được chuyển sang kỳ sau. Mọi số liệu thực tế hiện để trống, chờ cập nhật.</t>
        </is>
      </c>
      <c r="B33" s="1" t="n"/>
      <c r="C33" s="1" t="n"/>
      <c r="D33" s="1" t="n"/>
      <c r="E33" s="1" t="n"/>
      <c r="F33" s="1" t="n"/>
      <c r="G33" s="1" t="n"/>
      <c r="H33" s="1" t="n"/>
      <c r="I33" s="1" t="n"/>
      <c r="J33" s="1" t="n"/>
      <c r="K33" s="1" t="n"/>
    </row>
    <row r="34" ht="22" customHeight="1">
      <c r="A34" s="1" t="n"/>
      <c r="K34" s="1" t="n"/>
    </row>
    <row r="35" ht="22" customHeight="1">
      <c r="A35" s="1" t="n"/>
      <c r="B35" s="1" t="n"/>
      <c r="C35" s="1" t="n"/>
      <c r="D35" s="1" t="n"/>
      <c r="E35" s="1" t="n"/>
      <c r="F35" s="1" t="n"/>
      <c r="G35" s="1" t="n"/>
      <c r="H35" s="1" t="n"/>
      <c r="I35" s="1" t="n"/>
      <c r="J35" s="1" t="n"/>
      <c r="K35" s="1" t="n"/>
    </row>
    <row r="36" ht="22" customHeight="1">
      <c r="A36" s="5" t="n"/>
      <c r="B36" s="5" t="n"/>
      <c r="C36" s="5" t="n"/>
      <c r="D36" s="5" t="n"/>
      <c r="E36" s="5" t="n"/>
      <c r="F36" s="5" t="n"/>
      <c r="G36" s="5" t="n"/>
      <c r="H36" s="5" t="n"/>
      <c r="I36" s="5" t="n"/>
      <c r="J36" s="5" t="n"/>
      <c r="K36" s="5" t="n"/>
    </row>
    <row r="37" ht="30" customHeight="1">
      <c r="A37" s="19" t="inlineStr">
        <is>
          <t>CÁCH SỬ DỤNG BẢNG THEO DÕI</t>
        </is>
      </c>
      <c r="B37" s="1" t="n"/>
      <c r="C37" s="1" t="n"/>
      <c r="D37" s="1" t="n"/>
      <c r="E37" s="1" t="n"/>
      <c r="F37" s="1" t="n"/>
      <c r="G37" s="1" t="n"/>
      <c r="H37" s="1" t="n"/>
      <c r="I37" s="1" t="n"/>
      <c r="J37" s="1" t="n"/>
      <c r="K37" s="1" t="n"/>
    </row>
    <row r="38" ht="48" customHeight="1">
      <c r="A38" s="93" t="inlineStr">
        <is>
          <t>01_Thiet_lap</t>
        </is>
      </c>
      <c r="B38" s="1" t="n"/>
      <c r="C38" s="1" t="n"/>
      <c r="D38" s="29" t="inlineStr">
        <is>
          <t>Xác nhận phạm vi ngân sách, ngày chạy, mốc đánh giá và định nghĩa chỉ số. Các phương án cấp 1 được đặt ở cuối sheet.</t>
        </is>
      </c>
      <c r="E38" s="1" t="n"/>
      <c r="F38" s="1" t="n"/>
      <c r="G38" s="1" t="n"/>
      <c r="H38" s="1" t="n"/>
      <c r="I38" s="1" t="n"/>
      <c r="J38" s="1" t="n"/>
      <c r="K38" s="1" t="n"/>
    </row>
    <row r="39" ht="48" customHeight="1">
      <c r="A39" s="93" t="inlineStr">
        <is>
          <t>02_Lo_trinh</t>
        </is>
      </c>
      <c r="B39" s="1" t="n"/>
      <c r="C39" s="1" t="n"/>
      <c r="D39" s="29" t="inlineStr">
        <is>
          <t>Cập nhật ngày và phê duyệt từng giai đoạn. Theo dõi ngày hợp lệ, thực chi và phần khung còn lại.</t>
        </is>
      </c>
      <c r="E39" s="1" t="n"/>
      <c r="F39" s="1" t="n"/>
      <c r="G39" s="1" t="n"/>
      <c r="H39" s="1" t="n"/>
      <c r="I39" s="1" t="n"/>
      <c r="J39" s="1" t="n"/>
      <c r="K39" s="1" t="n"/>
    </row>
    <row r="40" ht="48" customHeight="1">
      <c r="A40" s="93" t="inlineStr">
        <is>
          <t>03_Chi_tieu</t>
        </is>
      </c>
      <c r="B40" s="1" t="n"/>
      <c r="C40" s="1" t="n"/>
      <c r="D40" s="29" t="inlineStr">
        <is>
          <t>Mỗi ngày một dòng. Nhập đủ bốn khoản chi; nhập dự phòng sử dụng và thuế/phí riêng. Nhập 0 nếu không phát sinh.</t>
        </is>
      </c>
      <c r="E40" s="1" t="n"/>
      <c r="F40" s="1" t="n"/>
      <c r="G40" s="1" t="n"/>
      <c r="H40" s="1" t="n"/>
      <c r="I40" s="1" t="n"/>
      <c r="J40" s="1" t="n"/>
      <c r="K40" s="1" t="n"/>
    </row>
    <row r="41" ht="48" customHeight="1">
      <c r="A41" s="93" t="inlineStr">
        <is>
          <t>04_Danh_gia</t>
        </is>
      </c>
      <c r="B41" s="1" t="n"/>
      <c r="C41" s="1" t="n"/>
      <c r="D41" s="29" t="inlineStr">
        <is>
          <t>Điền số liệu và bằng chứng theo mã kỳ KY01–KY12. Kết quả chỉ là tham chiếu cho đánh giá.</t>
        </is>
      </c>
      <c r="E41" s="1" t="n"/>
      <c r="F41" s="1" t="n"/>
      <c r="G41" s="1" t="n"/>
      <c r="H41" s="1" t="n"/>
      <c r="I41" s="1" t="n"/>
      <c r="J41" s="1" t="n"/>
      <c r="K41" s="1" t="n"/>
    </row>
    <row r="42" ht="48" customHeight="1">
      <c r="A42" s="93" t="inlineStr">
        <is>
          <t>05_Bao_cao_tuan</t>
        </is>
      </c>
      <c r="B42" s="1" t="n"/>
      <c r="C42" s="1" t="n"/>
      <c r="D42" s="29" t="inlineStr">
        <is>
          <t>Chốt khoảng ngày theo thực tế; cập nhật nhóm tiếp cận, mức quan tâm, nội dung rút ra và đề xuất tiếp theo.</t>
        </is>
      </c>
      <c r="E42" s="1" t="n"/>
      <c r="F42" s="1" t="n"/>
      <c r="G42" s="1" t="n"/>
      <c r="H42" s="1" t="n"/>
      <c r="I42" s="1" t="n"/>
      <c r="J42" s="1" t="n"/>
      <c r="K42" s="1" t="n"/>
    </row>
    <row r="43" ht="48" customHeight="1">
      <c r="A43" s="93" t="inlineStr">
        <is>
          <t>06_Kiem_tra</t>
        </is>
      </c>
      <c r="B43" s="1" t="n"/>
      <c r="C43" s="1" t="n"/>
      <c r="D43" s="29" t="inlineStr">
        <is>
          <t>Xác nhận điều kiện triển khai, đầu mối phụ trách và hồ sơ. Ngày chưa thống nhất tiếp tục để placeholder.</t>
        </is>
      </c>
      <c r="E43" s="1" t="n"/>
      <c r="F43" s="1" t="n"/>
      <c r="G43" s="1" t="n"/>
      <c r="H43" s="1" t="n"/>
      <c r="I43" s="1" t="n"/>
      <c r="J43" s="1" t="n"/>
      <c r="K43" s="1" t="n"/>
    </row>
    <row r="44" ht="22" customHeight="1">
      <c r="A44" s="5" t="n"/>
      <c r="B44" s="5" t="n"/>
      <c r="C44" s="5" t="n"/>
      <c r="D44" s="5" t="n"/>
      <c r="E44" s="5" t="n"/>
      <c r="F44" s="5" t="n"/>
      <c r="G44" s="5" t="n"/>
      <c r="H44" s="5" t="n"/>
      <c r="I44" s="5" t="n"/>
      <c r="J44" s="5" t="n"/>
      <c r="K44" s="5" t="n"/>
    </row>
    <row r="45" ht="22" customHeight="1">
      <c r="A45" s="17" t="inlineStr">
        <is>
          <t>Ký hiệu: ô vàng là nơi nhập/cập nhật; ô xám là công thức hoặc nội dung tham chiếu. Thay [Chưa chốt] bằng ngày Excel thực (dd/mm/yyyy), không nhập ngày dưới dạng ghi chú. Nhật ký có sẵn 90 dòng, báo cáo và đánh giá có 12 kỳ.</t>
        </is>
      </c>
      <c r="B45" s="1" t="n"/>
      <c r="C45" s="1" t="n"/>
      <c r="D45" s="1" t="n"/>
      <c r="E45" s="1" t="n"/>
      <c r="F45" s="1" t="n"/>
      <c r="G45" s="1" t="n"/>
      <c r="H45" s="1" t="n"/>
      <c r="I45" s="1" t="n"/>
      <c r="J45" s="1" t="n"/>
      <c r="K45" s="1" t="n"/>
    </row>
    <row r="46" ht="22" customHeight="1">
      <c r="A46" s="1" t="n"/>
      <c r="K46" s="1" t="n"/>
    </row>
    <row r="47" ht="22" customHeight="1">
      <c r="A47" s="1" t="n"/>
      <c r="B47" s="1" t="n"/>
      <c r="C47" s="1" t="n"/>
      <c r="D47" s="1" t="n"/>
      <c r="E47" s="1" t="n"/>
      <c r="F47" s="1" t="n"/>
      <c r="G47" s="1" t="n"/>
      <c r="H47" s="1" t="n"/>
      <c r="I47" s="1" t="n"/>
      <c r="J47" s="1" t="n"/>
      <c r="K47" s="1" t="n"/>
    </row>
    <row r="48" ht="22" customHeight="1">
      <c r="A48" s="5" t="n"/>
      <c r="B48" s="5" t="n"/>
      <c r="C48" s="5" t="n"/>
      <c r="D48" s="5" t="n"/>
      <c r="E48" s="5" t="n"/>
      <c r="F48" s="5" t="n"/>
      <c r="G48" s="5" t="n"/>
      <c r="H48" s="5" t="n"/>
      <c r="I48" s="5" t="n"/>
      <c r="J48" s="5" t="n"/>
      <c r="K48" s="5" t="n"/>
    </row>
    <row r="49" ht="22" customHeight="1">
      <c r="A49" s="17" t="inlineStr">
        <is>
          <t>Lưu ý về lộ trình: bản nháp nêu mở rộng cấp 1 theo chu kỳ 7 ngày và yêu cầu hai chu kỳ trước khi xét cấp 2; mẫu tách G3.1/G3.2 để thống nhất hai nội dung. Mức 1.250.000 VNĐ/ngày, lịch chạy và tổng chi theo các giai đoạn đều chưa mặc định được duyệt. Nguồn số liệu đề xuất: nội dung được cung cấp trong cuộc trao đổi; không bổ sung chuẩn thị trường hoặc kết quả giả định.</t>
        </is>
      </c>
      <c r="B49" s="1" t="n"/>
      <c r="C49" s="1" t="n"/>
      <c r="D49" s="1" t="n"/>
      <c r="E49" s="1" t="n"/>
      <c r="F49" s="1" t="n"/>
      <c r="G49" s="1" t="n"/>
      <c r="H49" s="1" t="n"/>
      <c r="I49" s="1" t="n"/>
      <c r="J49" s="1" t="n"/>
      <c r="K49" s="1" t="n"/>
    </row>
    <row r="50" ht="22" customHeight="1">
      <c r="A50" s="1" t="n"/>
      <c r="K50" s="1" t="n"/>
    </row>
    <row r="51" ht="22" customHeight="1">
      <c r="A51" s="1" t="n"/>
      <c r="K51" s="1" t="n"/>
    </row>
    <row r="52" ht="22" customHeight="1">
      <c r="A52" s="1" t="n"/>
      <c r="B52" s="1" t="n"/>
      <c r="C52" s="1" t="n"/>
      <c r="D52" s="1" t="n"/>
      <c r="E52" s="1" t="n"/>
      <c r="F52" s="1" t="n"/>
      <c r="G52" s="1" t="n"/>
      <c r="H52" s="1" t="n"/>
      <c r="I52" s="1" t="n"/>
      <c r="J52" s="1" t="n"/>
      <c r="K52" s="1" t="n"/>
    </row>
  </sheetData>
  <mergeCells count="75">
    <mergeCell ref="I16:K16"/>
    <mergeCell ref="I23:K24"/>
    <mergeCell ref="A10:C11"/>
    <mergeCell ref="A41:C41"/>
    <mergeCell ref="I10:K11"/>
    <mergeCell ref="I28:K28"/>
    <mergeCell ref="A3:K4"/>
    <mergeCell ref="G27:H27"/>
    <mergeCell ref="B17:D17"/>
    <mergeCell ref="A29:D29"/>
    <mergeCell ref="E9:G9"/>
    <mergeCell ref="I18:K18"/>
    <mergeCell ref="I21:K21"/>
    <mergeCell ref="E17:F17"/>
    <mergeCell ref="A28:D28"/>
    <mergeCell ref="D40:K40"/>
    <mergeCell ref="A45:K47"/>
    <mergeCell ref="A42:C42"/>
    <mergeCell ref="I6:K7"/>
    <mergeCell ref="B19:D19"/>
    <mergeCell ref="E20:F20"/>
    <mergeCell ref="A31:D31"/>
    <mergeCell ref="A5:C5"/>
    <mergeCell ref="A13:K14"/>
    <mergeCell ref="E29:F29"/>
    <mergeCell ref="I5:K5"/>
    <mergeCell ref="E19:F19"/>
    <mergeCell ref="A23:H24"/>
    <mergeCell ref="A30:D30"/>
    <mergeCell ref="E28:F28"/>
    <mergeCell ref="I17:K17"/>
    <mergeCell ref="G28:H28"/>
    <mergeCell ref="I20:K20"/>
    <mergeCell ref="D41:K41"/>
    <mergeCell ref="A43:C43"/>
    <mergeCell ref="I29:K29"/>
    <mergeCell ref="E31:F31"/>
    <mergeCell ref="B20:D20"/>
    <mergeCell ref="A37:K37"/>
    <mergeCell ref="A38:C38"/>
    <mergeCell ref="I19:K19"/>
    <mergeCell ref="A6:C7"/>
    <mergeCell ref="E10:G11"/>
    <mergeCell ref="E30:F30"/>
    <mergeCell ref="G30:H30"/>
    <mergeCell ref="D43:K43"/>
    <mergeCell ref="I9:K9"/>
    <mergeCell ref="E27:F27"/>
    <mergeCell ref="A9:C9"/>
    <mergeCell ref="I31:K31"/>
    <mergeCell ref="A40:C40"/>
    <mergeCell ref="A39:C39"/>
    <mergeCell ref="E26:F26"/>
    <mergeCell ref="I30:K30"/>
    <mergeCell ref="A49:K52"/>
    <mergeCell ref="G26:H26"/>
    <mergeCell ref="B16:D16"/>
    <mergeCell ref="A1:K2"/>
    <mergeCell ref="E6:G7"/>
    <mergeCell ref="G29:H29"/>
    <mergeCell ref="A27:D27"/>
    <mergeCell ref="E16:F16"/>
    <mergeCell ref="A33:K35"/>
    <mergeCell ref="D39:K39"/>
    <mergeCell ref="E5:G5"/>
    <mergeCell ref="I27:K27"/>
    <mergeCell ref="A26:D26"/>
    <mergeCell ref="D42:K42"/>
    <mergeCell ref="B18:D18"/>
    <mergeCell ref="D38:K38"/>
    <mergeCell ref="I26:K26"/>
    <mergeCell ref="B21:D21"/>
    <mergeCell ref="G31:H31"/>
    <mergeCell ref="E18:F18"/>
    <mergeCell ref="E21:F2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47"/>
  <sheetViews>
    <sheetView workbookViewId="0">
      <selection activeCell="A1" sqref="A1"/>
    </sheetView>
  </sheetViews>
  <sheetFormatPr baseColWidth="8" defaultRowHeight="15"/>
  <cols>
    <col width="11" customWidth="1" min="1" max="1"/>
    <col width="18" customWidth="1" min="2" max="2"/>
    <col width="18" customWidth="1" min="3" max="3"/>
    <col width="15" customWidth="1" min="4" max="4"/>
    <col width="15" customWidth="1" min="5" max="5"/>
    <col width="25" customWidth="1" min="6" max="6"/>
    <col width="25" customWidth="1" min="7" max="7"/>
  </cols>
  <sheetData>
    <row r="1" ht="24" customHeight="1">
      <c r="A1" s="13" t="inlineStr">
        <is>
          <t>THIẾT LẬP NGÂN SÁCH &amp; MỐC THAM CHIẾU</t>
        </is>
      </c>
      <c r="B1" s="1" t="n"/>
      <c r="C1" s="1" t="n"/>
      <c r="D1" s="1" t="n"/>
      <c r="E1" s="1" t="n"/>
      <c r="F1" s="1" t="n"/>
      <c r="G1" s="1" t="n"/>
    </row>
    <row r="2" ht="24" customHeight="1">
      <c r="A2" s="1" t="n"/>
      <c r="B2" s="1" t="n"/>
      <c r="C2" s="1" t="n"/>
      <c r="D2" s="1" t="n"/>
      <c r="E2" s="1" t="n"/>
      <c r="F2" s="1" t="n"/>
      <c r="G2" s="1" t="n"/>
    </row>
    <row r="3" ht="22" customHeight="1">
      <c r="A3" s="17" t="inlineStr">
        <is>
          <t>Nguồn: bản nháp đề xuất được cung cấp trong cuộc trao đổi. Các giá trị là đề xuất nội bộ, chưa mặc định được phê duyệt.</t>
        </is>
      </c>
      <c r="B3" s="1" t="n"/>
      <c r="C3" s="1" t="n"/>
      <c r="D3" s="1" t="n"/>
      <c r="E3" s="1" t="n"/>
      <c r="F3" s="1" t="n"/>
      <c r="G3" s="1" t="n"/>
    </row>
    <row r="4" ht="22" customHeight="1">
      <c r="A4" s="1" t="n"/>
      <c r="B4" s="1" t="n"/>
      <c r="C4" s="1" t="n"/>
      <c r="D4" s="1" t="n"/>
      <c r="E4" s="1" t="n"/>
      <c r="F4" s="1" t="n"/>
      <c r="G4" s="1" t="n"/>
    </row>
    <row r="5" ht="22" customHeight="1">
      <c r="A5" s="5" t="n"/>
      <c r="B5" s="5" t="n"/>
      <c r="C5" s="5" t="n"/>
      <c r="D5" s="5" t="n"/>
      <c r="E5" s="5" t="n"/>
      <c r="F5" s="5" t="n"/>
      <c r="G5" s="5" t="n"/>
    </row>
    <row r="6" ht="36" customHeight="1">
      <c r="A6" s="18" t="inlineStr">
        <is>
          <t>Mã</t>
        </is>
      </c>
      <c r="B6" s="19" t="inlineStr">
        <is>
          <t>Thông số</t>
        </is>
      </c>
      <c r="C6" s="1" t="n"/>
      <c r="D6" s="19" t="inlineStr">
        <is>
          <t>Giá trị / trạng thái</t>
        </is>
      </c>
      <c r="E6" s="1" t="n"/>
      <c r="F6" s="19" t="inlineStr">
        <is>
          <t>Cơ sở và cách sử dụng</t>
        </is>
      </c>
      <c r="G6" s="1" t="n"/>
    </row>
    <row r="7" ht="48" customHeight="1">
      <c r="A7" s="5" t="inlineStr">
        <is>
          <t>NS01</t>
        </is>
      </c>
      <c r="B7" s="21" t="inlineStr">
        <is>
          <t>Khung quảng cáo cơ bản/ngày</t>
        </is>
      </c>
      <c r="C7" s="1" t="n"/>
      <c r="D7" s="124" t="n">
        <v>1000000</v>
      </c>
      <c r="E7" s="1" t="n"/>
      <c r="F7" s="21" t="inlineStr">
        <is>
          <t>Bản nháp: 1.000.000 VNĐ/ngày chạy hợp lệ; là mốc quản trị bình quân.</t>
        </is>
      </c>
      <c r="G7" s="1" t="n"/>
    </row>
    <row r="8" ht="48" customHeight="1">
      <c r="A8" s="5" t="inlineStr">
        <is>
          <t>NS02</t>
        </is>
      </c>
      <c r="B8" s="21" t="inlineStr">
        <is>
          <t>LinkedIn cơ sở/ngày</t>
        </is>
      </c>
      <c r="C8" s="1" t="n"/>
      <c r="D8" s="124" t="n">
        <v>600000</v>
      </c>
      <c r="E8" s="1" t="n"/>
      <c r="F8" s="21" t="inlineStr">
        <is>
          <t>Bản nháp: phân bổ khởi động cho LinkedIn.</t>
        </is>
      </c>
      <c r="G8" s="1" t="n"/>
    </row>
    <row r="9" ht="48" customHeight="1">
      <c r="A9" s="5" t="inlineStr">
        <is>
          <t>NS03</t>
        </is>
      </c>
      <c r="B9" s="21" t="inlineStr">
        <is>
          <t>Google Search cơ sở/ngày</t>
        </is>
      </c>
      <c r="C9" s="1" t="n"/>
      <c r="D9" s="124" t="n">
        <v>250000</v>
      </c>
      <c r="E9" s="1" t="n"/>
      <c r="F9" s="21" t="inlineStr">
        <is>
          <t>Bản nháp: phân bổ khởi động cho Google Search.</t>
        </is>
      </c>
      <c r="G9" s="1" t="n"/>
    </row>
    <row r="10" ht="48" customHeight="1">
      <c r="A10" s="5" t="inlineStr">
        <is>
          <t>NS04</t>
        </is>
      </c>
      <c r="B10" s="21" t="inlineStr">
        <is>
          <t>Dự phòng trong khung cơ bản/ngày</t>
        </is>
      </c>
      <c r="C10" s="1" t="n"/>
      <c r="D10" s="124" t="n">
        <v>150000</v>
      </c>
      <c r="E10" s="1" t="n"/>
      <c r="F10" s="21" t="inlineStr">
        <is>
          <t>Bản nháp: giữ lại khi chưa có thử nghiệm hoặc phương án đủ căn cứ.</t>
        </is>
      </c>
      <c r="G10" s="1" t="n"/>
    </row>
    <row r="11" ht="48" customHeight="1">
      <c r="A11" s="5" t="inlineStr">
        <is>
          <t>NS05</t>
        </is>
      </c>
      <c r="B11" s="21" t="inlineStr">
        <is>
          <t>Tổng phân bổ cơ sở/ngày</t>
        </is>
      </c>
      <c r="C11" s="1" t="n"/>
      <c r="D11" s="119">
        <f>SUM(D8:D9)</f>
        <v/>
      </c>
      <c r="E11" s="1" t="n"/>
      <c r="F11" s="21" t="inlineStr">
        <is>
          <t>Tự tính từ LinkedIn và Google Search; chưa bao gồm dự phòng.</t>
        </is>
      </c>
      <c r="G11" s="1" t="n"/>
    </row>
    <row r="12" ht="48" customHeight="1">
      <c r="A12" s="5" t="inlineStr">
        <is>
          <t>NS06</t>
        </is>
      </c>
      <c r="B12" s="21" t="inlineStr">
        <is>
          <t>Khung cấp 2 đề xuất/ngày</t>
        </is>
      </c>
      <c r="C12" s="1" t="n"/>
      <c r="D12" s="124" t="n">
        <v>1250000</v>
      </c>
      <c r="E12" s="1" t="n"/>
      <c r="F12" s="21" t="inlineStr">
        <is>
          <t>Bản nháp: chỉ triển khai sau khi được phê duyệt riêng.</t>
        </is>
      </c>
      <c r="G12" s="1" t="n"/>
    </row>
    <row r="13" ht="48" customHeight="1">
      <c r="A13" s="5" t="inlineStr">
        <is>
          <t>TG01</t>
        </is>
      </c>
      <c r="B13" s="21" t="inlineStr">
        <is>
          <t>Số ngày giai đoạn thử nghiệm</t>
        </is>
      </c>
      <c r="C13" s="1" t="n"/>
      <c r="D13" s="25" t="n">
        <v>7</v>
      </c>
      <c r="E13" s="1" t="n"/>
      <c r="F13" s="21" t="inlineStr">
        <is>
          <t>Bản nháp: 7 ngày chạy hợp lệ.</t>
        </is>
      </c>
      <c r="G13" s="1" t="n"/>
    </row>
    <row r="14" ht="48" customHeight="1">
      <c r="A14" s="5" t="inlineStr">
        <is>
          <t>TG02</t>
        </is>
      </c>
      <c r="B14" s="21" t="inlineStr">
        <is>
          <t>Số ngày giai đoạn xác nhận</t>
        </is>
      </c>
      <c r="C14" s="1" t="n"/>
      <c r="D14" s="25" t="n">
        <v>14</v>
      </c>
      <c r="E14" s="1" t="n"/>
      <c r="F14" s="21" t="inlineStr">
        <is>
          <t>Bản nháp: 14 ngày chạy hợp lệ.</t>
        </is>
      </c>
      <c r="G14" s="1" t="n"/>
    </row>
    <row r="15" ht="48" customHeight="1">
      <c r="A15" s="5" t="inlineStr">
        <is>
          <t>TG03</t>
        </is>
      </c>
      <c r="B15" s="21" t="inlineStr">
        <is>
          <t>Số ngày mỗi chu kỳ cấp 1</t>
        </is>
      </c>
      <c r="C15" s="1" t="n"/>
      <c r="D15" s="25" t="n">
        <v>7</v>
      </c>
      <c r="E15" s="1" t="n"/>
      <c r="F15" s="21" t="inlineStr">
        <is>
          <t>Bản nháp: mỗi chu kỳ mở rộng cấp 1 kéo dài 7 ngày hợp lệ.</t>
        </is>
      </c>
      <c r="G15" s="1" t="n"/>
    </row>
    <row r="16" ht="48" customHeight="1">
      <c r="A16" s="5" t="inlineStr">
        <is>
          <t>TG04</t>
        </is>
      </c>
      <c r="B16" s="21" t="inlineStr">
        <is>
          <t>Số chu kỳ cấp 1 trước khi xét cấp 2</t>
        </is>
      </c>
      <c r="C16" s="1" t="n"/>
      <c r="D16" s="125" t="n">
        <v>2</v>
      </c>
      <c r="E16" s="1" t="n"/>
      <c r="F16" s="21" t="inlineStr">
        <is>
          <t>Bản nháp yêu cầu hai chu kỳ 7 ngày. Mẫu đã tách hai chu kỳ; điều chỉnh số chu kỳ cần cập nhật cấu trúc lộ trình.</t>
        </is>
      </c>
      <c r="G16" s="1" t="n"/>
    </row>
    <row r="17" ht="48" customHeight="1">
      <c r="A17" s="5" t="inlineStr">
        <is>
          <t>TG05</t>
        </is>
      </c>
      <c r="B17" s="21" t="inlineStr">
        <is>
          <t>Số ngày đầu của cấp 2</t>
        </is>
      </c>
      <c r="C17" s="1" t="n"/>
      <c r="D17" s="25" t="n">
        <v>7</v>
      </c>
      <c r="E17" s="1" t="n"/>
      <c r="F17" s="21" t="inlineStr">
        <is>
          <t>Bản nháp: 7 ngày đầu sau khi được phê duyệt.</t>
        </is>
      </c>
      <c r="G17" s="1" t="n"/>
    </row>
    <row r="18" ht="48" customHeight="1">
      <c r="A18" s="5" t="inlineStr">
        <is>
          <t>DG01</t>
        </is>
      </c>
      <c r="B18" s="21" t="inlineStr">
        <is>
          <t>Tỷ lệ nhấp Search đúng chủ đề</t>
        </is>
      </c>
      <c r="C18" s="1" t="n"/>
      <c r="D18" s="126" t="n">
        <v>0.7</v>
      </c>
      <c r="E18" s="1" t="n"/>
      <c r="F18" s="21" t="inlineStr">
        <is>
          <t>Bản nháp: tối thiểu 7/10 lượt nhấp quan sát được; mốc tham chiếu ban đầu.</t>
        </is>
      </c>
      <c r="G18" s="1" t="n"/>
    </row>
    <row r="19" ht="48" customHeight="1">
      <c r="A19" s="5" t="inlineStr">
        <is>
          <t>DG02</t>
        </is>
      </c>
      <c r="B19" s="21" t="inlineStr">
        <is>
          <t>Duy trì mức quan tâm tối thiểu</t>
        </is>
      </c>
      <c r="C19" s="1" t="n"/>
      <c r="D19" s="126" t="n">
        <v>0.8</v>
      </c>
      <c r="E19" s="1" t="n"/>
      <c r="F19" s="21" t="inlineStr">
        <is>
          <t>Bản nháp: tối thiểu 80% so với mốc ban đầu; dùng cùng một chỉ số.</t>
        </is>
      </c>
      <c r="G19" s="1" t="n"/>
    </row>
    <row r="20" ht="48" customHeight="1">
      <c r="A20" s="5" t="inlineStr">
        <is>
          <t>DG03</t>
        </is>
      </c>
      <c r="B20" s="21" t="inlineStr">
        <is>
          <t>Mức cải thiện tham chiếu</t>
        </is>
      </c>
      <c r="C20" s="1" t="n"/>
      <c r="D20" s="126" t="n">
        <v>0.2</v>
      </c>
      <c r="E20" s="1" t="n"/>
      <c r="F20" s="21" t="inlineStr">
        <is>
          <t>Bản nháp: cải thiện tối thiểu 20%; chỉ số cần được thống nhất trước.</t>
        </is>
      </c>
      <c r="G20" s="1" t="n"/>
    </row>
    <row r="21" ht="48" customHeight="1">
      <c r="A21" s="5" t="inlineStr">
        <is>
          <t>DG04</t>
        </is>
      </c>
      <c r="B21" s="21" t="inlineStr">
        <is>
          <t>Mức giảm chi phí tham chiếu</t>
        </is>
      </c>
      <c r="C21" s="1" t="n"/>
      <c r="D21" s="126" t="n">
        <v>0.15</v>
      </c>
      <c r="E21" s="1" t="n"/>
      <c r="F21" s="21" t="inlineStr">
        <is>
          <t>Bản nháp: chi phí thấp hơn tối thiểu 15%, kèm chất lượng tương đương.</t>
        </is>
      </c>
      <c r="G21" s="1" t="n"/>
    </row>
    <row r="22" ht="48" customHeight="1">
      <c r="A22" s="5" t="inlineStr">
        <is>
          <t>DG05</t>
        </is>
      </c>
      <c r="B22" s="21" t="inlineStr">
        <is>
          <t>Mức suy giảm tối đa khi xét cấp 2</t>
        </is>
      </c>
      <c r="C22" s="1" t="n"/>
      <c r="D22" s="126" t="n">
        <v>0.1</v>
      </c>
      <c r="E22" s="1" t="n"/>
      <c r="F22" s="21" t="inlineStr">
        <is>
          <t>Bản nháp: mức suy giảm không vượt quá 10%; cần hai chu kỳ cấp 1.</t>
        </is>
      </c>
      <c r="G22" s="1" t="n"/>
    </row>
    <row r="23" ht="48" customHeight="1">
      <c r="A23" s="5" t="inlineStr">
        <is>
          <t>DG06</t>
        </is>
      </c>
      <c r="B23" s="21" t="inlineStr">
        <is>
          <t>Số nhấp để đối chiếu mốc 7/10</t>
        </is>
      </c>
      <c r="C23" s="1" t="n"/>
      <c r="D23" s="25" t="n">
        <v>10</v>
      </c>
      <c r="E23" s="1" t="n"/>
      <c r="F23" s="21" t="inlineStr">
        <is>
          <t>Quy ước theo dõi từ mốc 7/10; không thay thế đánh giá độ tin cậy của mẫu.</t>
        </is>
      </c>
      <c r="G23" s="1" t="n"/>
    </row>
    <row r="24" ht="48" customHeight="1">
      <c r="A24" s="5" t="inlineStr">
        <is>
          <t>NS07</t>
        </is>
      </c>
      <c r="B24" s="21" t="inlineStr">
        <is>
          <t>Dự phòng cấp 2/ngày</t>
        </is>
      </c>
      <c r="C24" s="1" t="n"/>
      <c r="D24" s="124" t="inlineStr">
        <is>
          <t>[Chưa chốt]</t>
        </is>
      </c>
      <c r="E24" s="1" t="n"/>
      <c r="F24" s="21" t="inlineStr">
        <is>
          <t>Chưa có phân bổ chi tiết trong bản nháp. Cập nhật khi trình duyệt cấp 2.</t>
        </is>
      </c>
      <c r="G24" s="1" t="n"/>
    </row>
    <row r="25" ht="48" customHeight="1">
      <c r="A25" s="5" t="inlineStr">
        <is>
          <t>TG06</t>
        </is>
      </c>
      <c r="B25" s="21" t="inlineStr">
        <is>
          <t>Ngày bắt đầu chiến dịch</t>
        </is>
      </c>
      <c r="C25" s="1" t="n"/>
      <c r="D25" s="127" t="inlineStr">
        <is>
          <t>[Chưa chốt]</t>
        </is>
      </c>
      <c r="E25" s="1" t="n"/>
      <c r="F25" s="21" t="inlineStr">
        <is>
          <t>Thay placeholder bằng ngày thực tế sau khi được thống nhất.</t>
        </is>
      </c>
      <c r="G25" s="1" t="n"/>
    </row>
    <row r="26" ht="48" customHeight="1">
      <c r="A26" s="5" t="inlineStr">
        <is>
          <t>TG07</t>
        </is>
      </c>
      <c r="B26" s="21" t="inlineStr">
        <is>
          <t>Ngày kết thúc chiến dịch</t>
        </is>
      </c>
      <c r="C26" s="1" t="n"/>
      <c r="D26" s="127" t="inlineStr">
        <is>
          <t>[Chưa chốt]</t>
        </is>
      </c>
      <c r="E26" s="1" t="n"/>
      <c r="F26" s="21" t="inlineStr">
        <is>
          <t>Không tự suy ra ngày kết thúc từ số ngày lịch.</t>
        </is>
      </c>
      <c r="G26" s="1" t="n"/>
    </row>
    <row r="27" ht="48" customHeight="1">
      <c r="A27" s="5" t="inlineStr">
        <is>
          <t>PD01</t>
        </is>
      </c>
      <c r="B27" s="21" t="inlineStr">
        <is>
          <t>Phạm vi thuế và phí</t>
        </is>
      </c>
      <c r="C27" s="1" t="n"/>
      <c r="D27" s="25" t="inlineStr">
        <is>
          <t>Chưa xác nhận</t>
        </is>
      </c>
      <c r="E27" s="1" t="n"/>
      <c r="F27" s="21" t="inlineStr">
        <is>
          <t>Cần tách thuế/phí trước khi áp dụng nếu khung được duyệt đã bao gồm các khoản này.</t>
        </is>
      </c>
      <c r="G27" s="1" t="n"/>
    </row>
    <row r="28" ht="48" customHeight="1">
      <c r="A28" s="5" t="inlineStr">
        <is>
          <t>DL01</t>
        </is>
      </c>
      <c r="B28" s="21" t="inlineStr">
        <is>
          <t>Chỉ số mức độ quan tâm</t>
        </is>
      </c>
      <c r="C28" s="1" t="n"/>
      <c r="D28" s="25" t="inlineStr">
        <is>
          <t>[Chưa thống nhất]</t>
        </is>
      </c>
      <c r="E28" s="1" t="n"/>
      <c r="F28" s="21" t="inlineStr">
        <is>
          <t>Ghi tên chỉ số và cách đo; giữ nhất quán giữa mốc ban đầu và kỳ hiện tại.</t>
        </is>
      </c>
      <c r="G28" s="1" t="n"/>
    </row>
    <row r="29" ht="48" customHeight="1">
      <c r="A29" s="5" t="inlineStr">
        <is>
          <t>DL02</t>
        </is>
      </c>
      <c r="B29" s="21" t="inlineStr">
        <is>
          <t>Chỉ số đánh giá cải thiện</t>
        </is>
      </c>
      <c r="C29" s="1" t="n"/>
      <c r="D29" s="25" t="inlineStr">
        <is>
          <t>[Chưa thống nhất]</t>
        </is>
      </c>
      <c r="E29" s="1" t="n"/>
      <c r="F29" s="21" t="inlineStr">
        <is>
          <t>Chọn chỉ số mà giá trị tăng thể hiện cải thiện; ghi rõ đơn vị và nguồn.</t>
        </is>
      </c>
      <c r="G29" s="1" t="n"/>
    </row>
    <row r="30" ht="48" customHeight="1">
      <c r="A30" s="5" t="inlineStr">
        <is>
          <t>DL03</t>
        </is>
      </c>
      <c r="B30" s="21" t="inlineStr">
        <is>
          <t>Đơn vị chi phí dùng để đối chiếu</t>
        </is>
      </c>
      <c r="C30" s="1" t="n"/>
      <c r="D30" s="25" t="inlineStr">
        <is>
          <t>[Chưa thống nhất]</t>
        </is>
      </c>
      <c r="E30" s="1" t="n"/>
      <c r="F30" s="21" t="inlineStr">
        <is>
          <t>Thống nhất cùng một đơn vị chi phí và điều kiện chất lượng.</t>
        </is>
      </c>
      <c r="G30" s="1" t="n"/>
    </row>
    <row r="31" ht="48" customHeight="1">
      <c r="A31" s="5" t="inlineStr">
        <is>
          <t>PD02</t>
        </is>
      </c>
      <c r="B31" s="21" t="inlineStr">
        <is>
          <t>Phạm vi điều chỉnh được duyệt</t>
        </is>
      </c>
      <c r="C31" s="1" t="n"/>
      <c r="D31" s="25" t="inlineStr">
        <is>
          <t>[Chưa thống nhất]</t>
        </is>
      </c>
      <c r="E31" s="1" t="n"/>
      <c r="F31" s="21" t="inlineStr">
        <is>
          <t>Ghi thẩm quyền điều chỉnh giữa các kênh và sử dụng dự phòng.</t>
        </is>
      </c>
      <c r="G31" s="1" t="n"/>
    </row>
    <row r="32" ht="48" customHeight="1">
      <c r="A32" s="5" t="inlineStr">
        <is>
          <t>DL04</t>
        </is>
      </c>
      <c r="B32" s="21" t="inlineStr">
        <is>
          <t>Nguồn dữ liệu và ngày hợp lệ</t>
        </is>
      </c>
      <c r="C32" s="1" t="n"/>
      <c r="D32" s="25" t="inlineStr">
        <is>
          <t>[Chưa thống nhất]</t>
        </is>
      </c>
      <c r="E32" s="1" t="n"/>
      <c r="F32" s="21" t="inlineStr">
        <is>
          <t>Ghi nguồn đối chiếu và điều kiện xác nhận ngày chạy, gồm trạng thái từng kênh.</t>
        </is>
      </c>
      <c r="G32" s="1" t="n"/>
    </row>
    <row r="33" ht="48" customHeight="1">
      <c r="A33" s="5" t="inlineStr">
        <is>
          <t>NS08</t>
        </is>
      </c>
      <c r="B33" s="21" t="inlineStr">
        <is>
          <t>Dự phòng còn lại sau ưu tiên cấp 1</t>
        </is>
      </c>
      <c r="C33" s="1" t="n"/>
      <c r="D33" s="124" t="n">
        <v>50000</v>
      </c>
      <c r="E33" s="1" t="n"/>
      <c r="F33" s="21" t="inlineStr">
        <is>
          <t>Bản nháp: các phương án cấp 1 dùng thêm 100.000 VNĐ, giữ lại 50.000 VNĐ.</t>
        </is>
      </c>
      <c r="G33" s="1" t="n"/>
    </row>
    <row r="34" ht="22" customHeight="1">
      <c r="A34" s="5" t="n"/>
      <c r="B34" s="5" t="n"/>
      <c r="C34" s="5" t="n"/>
      <c r="D34" s="5" t="n"/>
      <c r="E34" s="5" t="n"/>
      <c r="F34" s="5" t="n"/>
      <c r="G34" s="5" t="n"/>
    </row>
    <row r="35" ht="22" customHeight="1">
      <c r="A35" s="17" t="inlineStr">
        <is>
          <t>Ô vàng: nhập/cập nhật sau khi thống nhất. Ô xám: công thức. Đơn vị tiền: VNĐ. Các mốc tỷ lệ là tham chiếu vận hành, không tự động quyết định tăng ngân sách.</t>
        </is>
      </c>
      <c r="B35" s="1" t="n"/>
      <c r="C35" s="1" t="n"/>
      <c r="D35" s="1" t="n"/>
      <c r="E35" s="1" t="n"/>
      <c r="F35" s="1" t="n"/>
      <c r="G35" s="1" t="n"/>
    </row>
    <row r="36" ht="22" customHeight="1">
      <c r="A36" s="1" t="n"/>
      <c r="B36" s="1" t="n"/>
      <c r="C36" s="1" t="n"/>
      <c r="D36" s="1" t="n"/>
      <c r="E36" s="1" t="n"/>
      <c r="F36" s="1" t="n"/>
      <c r="G36" s="1" t="n"/>
    </row>
    <row r="37" ht="22" customHeight="1">
      <c r="A37" s="5" t="n"/>
      <c r="B37" s="5" t="n"/>
      <c r="C37" s="5" t="n"/>
      <c r="D37" s="5" t="n"/>
      <c r="E37" s="5" t="n"/>
      <c r="F37" s="5" t="n"/>
      <c r="G37" s="5" t="n"/>
    </row>
    <row r="38" ht="42" customHeight="1">
      <c r="A38" s="19" t="inlineStr">
        <is>
          <t>Phương án phân bổ/ngày</t>
        </is>
      </c>
      <c r="B38" s="1" t="n"/>
      <c r="C38" s="18" t="inlineStr">
        <is>
          <t>LinkedIn</t>
        </is>
      </c>
      <c r="D38" s="18" t="inlineStr">
        <is>
          <t>Google Search</t>
        </is>
      </c>
      <c r="E38" s="18" t="inlineStr">
        <is>
          <t>Tiếp thị lại</t>
        </is>
      </c>
      <c r="F38" s="18" t="inlineStr">
        <is>
          <t>Dự phòng còn giữ</t>
        </is>
      </c>
      <c r="G38" s="18" t="inlineStr">
        <is>
          <t>Tổng khung</t>
        </is>
      </c>
    </row>
    <row r="39" ht="36" customHeight="1">
      <c r="A39" s="21" t="inlineStr">
        <is>
          <t>Khởi động</t>
        </is>
      </c>
      <c r="B39" s="1" t="n"/>
      <c r="C39" s="128">
        <f>$D$8</f>
        <v/>
      </c>
      <c r="D39" s="128">
        <f>$D$9</f>
        <v/>
      </c>
      <c r="E39" s="128">
        <f>0</f>
        <v/>
      </c>
      <c r="F39" s="128">
        <f>$D$10</f>
        <v/>
      </c>
      <c r="G39" s="128">
        <f>SUM(C39:F39)</f>
        <v/>
      </c>
    </row>
    <row r="40" ht="36" customHeight="1">
      <c r="A40" s="21" t="inlineStr">
        <is>
          <t>Ưu tiên LinkedIn</t>
        </is>
      </c>
      <c r="B40" s="1" t="n"/>
      <c r="C40" s="128">
        <f>$D$8+$D$10-$D$33</f>
        <v/>
      </c>
      <c r="D40" s="128">
        <f>$D$9</f>
        <v/>
      </c>
      <c r="E40" s="128">
        <f>0</f>
        <v/>
      </c>
      <c r="F40" s="128">
        <f>$D$33</f>
        <v/>
      </c>
      <c r="G40" s="128">
        <f>SUM(C40:F40)</f>
        <v/>
      </c>
    </row>
    <row r="41" ht="36" customHeight="1">
      <c r="A41" s="21" t="inlineStr">
        <is>
          <t>Ưu tiên Search</t>
        </is>
      </c>
      <c r="B41" s="1" t="n"/>
      <c r="C41" s="128">
        <f>$D$8</f>
        <v/>
      </c>
      <c r="D41" s="128">
        <f>$D$9+$D$10-$D$33</f>
        <v/>
      </c>
      <c r="E41" s="128">
        <f>0</f>
        <v/>
      </c>
      <c r="F41" s="128">
        <f>$D$33</f>
        <v/>
      </c>
      <c r="G41" s="128">
        <f>SUM(C41:F41)</f>
        <v/>
      </c>
    </row>
    <row r="42" ht="36" customHeight="1">
      <c r="A42" s="21" t="inlineStr">
        <is>
          <t>Ưu tiên tiếp thị lại</t>
        </is>
      </c>
      <c r="B42" s="1" t="n"/>
      <c r="C42" s="128">
        <f>$D$8</f>
        <v/>
      </c>
      <c r="D42" s="128">
        <f>$D$9</f>
        <v/>
      </c>
      <c r="E42" s="128">
        <f>$D$10-$D$33</f>
        <v/>
      </c>
      <c r="F42" s="128">
        <f>$D$33</f>
        <v/>
      </c>
      <c r="G42" s="128">
        <f>SUM(C42:F42)</f>
        <v/>
      </c>
    </row>
    <row r="43" ht="36" customHeight="1">
      <c r="A43" s="21" t="inlineStr">
        <is>
          <t>Cấp 2 — chờ phân bổ</t>
        </is>
      </c>
      <c r="B43" s="1" t="n"/>
      <c r="C43" s="128" t="inlineStr">
        <is>
          <t>[Chưa chốt]</t>
        </is>
      </c>
      <c r="D43" s="128" t="inlineStr">
        <is>
          <t>[Chưa chốt]</t>
        </is>
      </c>
      <c r="E43" s="128" t="inlineStr">
        <is>
          <t>[Chưa chốt]</t>
        </is>
      </c>
      <c r="F43" s="128" t="inlineStr">
        <is>
          <t>[Chưa chốt]</t>
        </is>
      </c>
      <c r="G43" s="128">
        <f>$D$12</f>
        <v/>
      </c>
    </row>
    <row r="44" ht="22" customHeight="1">
      <c r="A44" s="5" t="n"/>
      <c r="B44" s="5" t="n"/>
      <c r="C44" s="5" t="n"/>
      <c r="D44" s="5" t="n"/>
      <c r="E44" s="5" t="n"/>
      <c r="F44" s="5" t="n"/>
      <c r="G44" s="5" t="n"/>
    </row>
    <row r="45" ht="22" customHeight="1">
      <c r="A45" s="17" t="inlineStr">
        <is>
          <t>Dự phòng sử dụng trong nhật ký chi là một phần của chi phí kênh, không cộng thêm lần nữa. Các phương án cấp 1 giữ tổng 1.000.000 VNĐ/ngày. Phương án cấp 2 cần chốt phân bổ và phê duyệt riêng.</t>
        </is>
      </c>
      <c r="B45" s="1" t="n"/>
      <c r="C45" s="1" t="n"/>
      <c r="D45" s="1" t="n"/>
      <c r="E45" s="1" t="n"/>
      <c r="F45" s="1" t="n"/>
      <c r="G45" s="1" t="n"/>
    </row>
    <row r="46" ht="22" customHeight="1">
      <c r="A46" s="1" t="n"/>
      <c r="G46" s="1" t="n"/>
    </row>
    <row r="47" ht="22" customHeight="1">
      <c r="A47" s="1" t="n"/>
      <c r="B47" s="1" t="n"/>
      <c r="C47" s="1" t="n"/>
      <c r="D47" s="1" t="n"/>
      <c r="E47" s="1" t="n"/>
      <c r="F47" s="1" t="n"/>
      <c r="G47" s="1" t="n"/>
    </row>
  </sheetData>
  <mergeCells count="94">
    <mergeCell ref="D20:E20"/>
    <mergeCell ref="F29:G29"/>
    <mergeCell ref="F16:G16"/>
    <mergeCell ref="F25:G25"/>
    <mergeCell ref="B22:C22"/>
    <mergeCell ref="D22:E22"/>
    <mergeCell ref="B31:C31"/>
    <mergeCell ref="D31:E31"/>
    <mergeCell ref="B12:C12"/>
    <mergeCell ref="D6:E6"/>
    <mergeCell ref="B21:C21"/>
    <mergeCell ref="F15:G15"/>
    <mergeCell ref="A41:B41"/>
    <mergeCell ref="D13:E13"/>
    <mergeCell ref="A3:G4"/>
    <mergeCell ref="B14:C14"/>
    <mergeCell ref="B13:C13"/>
    <mergeCell ref="D7:E7"/>
    <mergeCell ref="F23:G23"/>
    <mergeCell ref="A42:B42"/>
    <mergeCell ref="F13:G13"/>
    <mergeCell ref="B24:C24"/>
    <mergeCell ref="D24:E24"/>
    <mergeCell ref="B33:C33"/>
    <mergeCell ref="D33:E33"/>
    <mergeCell ref="B32:C32"/>
    <mergeCell ref="B26:C26"/>
    <mergeCell ref="D26:E26"/>
    <mergeCell ref="A39:B39"/>
    <mergeCell ref="B16:C16"/>
    <mergeCell ref="D10:E10"/>
    <mergeCell ref="B25:C25"/>
    <mergeCell ref="F10:G10"/>
    <mergeCell ref="D19:E19"/>
    <mergeCell ref="F19:G19"/>
    <mergeCell ref="F6:G6"/>
    <mergeCell ref="B18:C18"/>
    <mergeCell ref="B27:C27"/>
    <mergeCell ref="F30:G30"/>
    <mergeCell ref="B11:C11"/>
    <mergeCell ref="D11:E11"/>
    <mergeCell ref="F20:G20"/>
    <mergeCell ref="F18:G18"/>
    <mergeCell ref="F33:G33"/>
    <mergeCell ref="F17:G17"/>
    <mergeCell ref="B29:C29"/>
    <mergeCell ref="F31:G31"/>
    <mergeCell ref="F28:G28"/>
    <mergeCell ref="D9:E9"/>
    <mergeCell ref="F9:G9"/>
    <mergeCell ref="B6:C6"/>
    <mergeCell ref="A35:G36"/>
    <mergeCell ref="B15:C15"/>
    <mergeCell ref="D15:E15"/>
    <mergeCell ref="D29:E29"/>
    <mergeCell ref="D23:E23"/>
    <mergeCell ref="A1:G2"/>
    <mergeCell ref="B7:C7"/>
    <mergeCell ref="F7:G7"/>
    <mergeCell ref="F21:G21"/>
    <mergeCell ref="D27:E27"/>
    <mergeCell ref="B17:C17"/>
    <mergeCell ref="D17:E17"/>
    <mergeCell ref="F8:G8"/>
    <mergeCell ref="B19:C19"/>
    <mergeCell ref="B28:C28"/>
    <mergeCell ref="D28:E28"/>
    <mergeCell ref="F22:G22"/>
    <mergeCell ref="B9:C9"/>
    <mergeCell ref="D12:E12"/>
    <mergeCell ref="D25:E25"/>
    <mergeCell ref="B30:C30"/>
    <mergeCell ref="A38:B38"/>
    <mergeCell ref="D30:E30"/>
    <mergeCell ref="A43:B43"/>
    <mergeCell ref="B20:C20"/>
    <mergeCell ref="D14:E14"/>
    <mergeCell ref="F14:G14"/>
    <mergeCell ref="A40:B40"/>
    <mergeCell ref="F11:G11"/>
    <mergeCell ref="D21:E21"/>
    <mergeCell ref="F12:G12"/>
    <mergeCell ref="F24:G24"/>
    <mergeCell ref="B23:C23"/>
    <mergeCell ref="D32:E32"/>
    <mergeCell ref="F32:G32"/>
    <mergeCell ref="F26:G26"/>
    <mergeCell ref="B8:C8"/>
    <mergeCell ref="D16:E16"/>
    <mergeCell ref="A45:G47"/>
    <mergeCell ref="B10:C10"/>
    <mergeCell ref="D18:E18"/>
    <mergeCell ref="F27:G27"/>
    <mergeCell ref="D8:E8"/>
  </mergeCells>
  <dataValidations count="1">
    <dataValidation sqref="D27" showDropDown="0" showInputMessage="0" showErrorMessage="0" allowBlank="0" type="list">
      <formula1>"Chưa xác nhận,Chỉ gồm quảng cáo,Đã gồm thuế/phí"</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N18"/>
  <sheetViews>
    <sheetView workbookViewId="0">
      <selection activeCell="A1" sqref="A1"/>
    </sheetView>
  </sheetViews>
  <sheetFormatPr baseColWidth="8" defaultRowHeight="15"/>
  <cols>
    <col width="10" customWidth="1" min="1" max="1"/>
    <col width="29" customWidth="1" min="2" max="2"/>
    <col width="14" customWidth="1" min="3" max="3"/>
    <col width="16" customWidth="1" min="4" max="4"/>
    <col width="16" customWidth="1" min="5" max="5"/>
    <col width="20" customWidth="1" min="6" max="6"/>
    <col width="22" customWidth="1" min="7" max="7"/>
    <col width="22" customWidth="1" min="8" max="8"/>
    <col width="21" customWidth="1" min="9" max="9"/>
    <col width="22" customWidth="1" min="10" max="10"/>
    <col width="16" customWidth="1" min="11" max="11"/>
    <col width="22" customWidth="1" min="12" max="12"/>
    <col width="22" customWidth="1" min="13" max="13"/>
    <col width="40" customWidth="1" min="14" max="14"/>
  </cols>
  <sheetData>
    <row r="1" ht="24" customHeight="1">
      <c r="A1" s="13" t="inlineStr">
        <is>
          <t>LỘ TRÌNH TRIỂN KHAI &amp; PHÊ DUYỆT</t>
        </is>
      </c>
      <c r="B1" s="1" t="n"/>
      <c r="C1" s="1" t="n"/>
      <c r="D1" s="1" t="n"/>
      <c r="E1" s="1" t="n"/>
      <c r="F1" s="1" t="n"/>
      <c r="G1" s="1" t="n"/>
      <c r="H1" s="1" t="n"/>
      <c r="I1" s="1" t="n"/>
      <c r="J1" s="1" t="n"/>
      <c r="K1" s="1" t="n"/>
      <c r="L1" s="1" t="n"/>
      <c r="M1" s="1" t="n"/>
      <c r="N1" s="1" t="n"/>
    </row>
    <row r="2" ht="24" customHeight="1">
      <c r="A2" s="1" t="n"/>
      <c r="B2" s="1" t="n"/>
      <c r="C2" s="1" t="n"/>
      <c r="D2" s="1" t="n"/>
      <c r="E2" s="1" t="n"/>
      <c r="F2" s="1" t="n"/>
      <c r="G2" s="1" t="n"/>
      <c r="H2" s="1" t="n"/>
      <c r="I2" s="1" t="n"/>
      <c r="J2" s="1" t="n"/>
      <c r="K2" s="1" t="n"/>
      <c r="L2" s="1" t="n"/>
      <c r="M2" s="1" t="n"/>
      <c r="N2" s="1" t="n"/>
    </row>
    <row r="3" ht="22" customHeight="1">
      <c r="A3" s="17" t="inlineStr">
        <is>
          <t>Ngày bắt đầu/kết thúc để [Chưa chốt]. Hai chu kỳ cấp 1 được tách riêng; đủ số ngày chưa đồng nghĩa với đủ điều kiện mở rộng.</t>
        </is>
      </c>
      <c r="B3" s="1" t="n"/>
      <c r="C3" s="1" t="n"/>
      <c r="D3" s="1" t="n"/>
      <c r="E3" s="1" t="n"/>
      <c r="F3" s="1" t="n"/>
      <c r="G3" s="1" t="n"/>
      <c r="H3" s="1" t="n"/>
      <c r="I3" s="1" t="n"/>
      <c r="J3" s="1" t="n"/>
      <c r="K3" s="1" t="n"/>
      <c r="L3" s="1" t="n"/>
      <c r="M3" s="1" t="n"/>
      <c r="N3" s="1" t="n"/>
    </row>
    <row r="4" ht="22" customHeight="1">
      <c r="A4" s="1" t="n"/>
      <c r="B4" s="1" t="n"/>
      <c r="C4" s="1" t="n"/>
      <c r="D4" s="1" t="n"/>
      <c r="E4" s="1" t="n"/>
      <c r="F4" s="1" t="n"/>
      <c r="G4" s="1" t="n"/>
      <c r="H4" s="1" t="n"/>
      <c r="I4" s="1" t="n"/>
      <c r="J4" s="1" t="n"/>
      <c r="K4" s="1" t="n"/>
      <c r="L4" s="1" t="n"/>
      <c r="M4" s="1" t="n"/>
      <c r="N4" s="1" t="n"/>
    </row>
    <row r="5" ht="22" customHeight="1">
      <c r="A5" s="5" t="n"/>
      <c r="B5" s="5" t="n"/>
      <c r="C5" s="5" t="n"/>
      <c r="D5" s="5" t="n"/>
      <c r="E5" s="5" t="n"/>
      <c r="F5" s="5" t="n"/>
      <c r="G5" s="5" t="n"/>
      <c r="H5" s="5" t="n"/>
      <c r="I5" s="5" t="n"/>
      <c r="J5" s="5" t="n"/>
      <c r="K5" s="5" t="n"/>
      <c r="L5" s="5" t="n"/>
      <c r="M5" s="5" t="n"/>
      <c r="N5" s="5" t="n"/>
    </row>
    <row r="6" ht="42" customHeight="1">
      <c r="A6" s="18" t="inlineStr">
        <is>
          <t>Mã</t>
        </is>
      </c>
      <c r="B6" s="18" t="inlineStr">
        <is>
          <t>Giai đoạn</t>
        </is>
      </c>
      <c r="C6" s="18" t="inlineStr">
        <is>
          <t>Ngày tham chiếu</t>
        </is>
      </c>
      <c r="D6" s="18" t="inlineStr">
        <is>
          <t>Ngày bắt đầu</t>
        </is>
      </c>
      <c r="E6" s="18" t="inlineStr">
        <is>
          <t>Ngày kết thúc</t>
        </is>
      </c>
      <c r="F6" s="18" t="inlineStr">
        <is>
          <t>Khung đề xuất/ngày</t>
        </is>
      </c>
      <c r="G6" s="18" t="inlineStr">
        <is>
          <t>Khung tối đa/chu kỳ</t>
        </is>
      </c>
      <c r="H6" s="18" t="inlineStr">
        <is>
          <t>Trong đó: cơ sở</t>
        </is>
      </c>
      <c r="I6" s="18" t="inlineStr">
        <is>
          <t>Trong đó: dự phòng</t>
        </is>
      </c>
      <c r="J6" s="18" t="inlineStr">
        <is>
          <t>Phê duyệt</t>
        </is>
      </c>
      <c r="K6" s="18" t="inlineStr">
        <is>
          <t>Ngày hợp lệ đã ghi nhận</t>
        </is>
      </c>
      <c r="L6" s="18" t="inlineStr">
        <is>
          <t>Thực chi quảng cáo</t>
        </is>
      </c>
      <c r="M6" s="18" t="inlineStr">
        <is>
          <t>Phần khung chưa dùng</t>
        </is>
      </c>
      <c r="N6" s="18" t="inlineStr">
        <is>
          <t>Trọng tâm / bước tiếp theo</t>
        </is>
      </c>
    </row>
    <row r="7" ht="62" customHeight="1">
      <c r="A7" s="5" t="inlineStr">
        <is>
          <t>G1</t>
        </is>
      </c>
      <c r="B7" s="5" t="inlineStr">
        <is>
          <t>1. Thử nghiệm</t>
        </is>
      </c>
      <c r="C7" s="129">
        <f>'01_Thiet_lap'!$D$13</f>
        <v/>
      </c>
      <c r="D7" s="130" t="inlineStr">
        <is>
          <t>[Chưa chốt]</t>
        </is>
      </c>
      <c r="E7" s="130" t="inlineStr">
        <is>
          <t>[Chưa chốt]</t>
        </is>
      </c>
      <c r="F7" s="128">
        <f>'01_Thiet_lap'!$D$7</f>
        <v/>
      </c>
      <c r="G7" s="128">
        <f>C7*F7</f>
        <v/>
      </c>
      <c r="H7" s="128">
        <f>C7*'01_Thiet_lap'!$D$11</f>
        <v/>
      </c>
      <c r="I7" s="128">
        <f>C7*'01_Thiet_lap'!$D$10</f>
        <v/>
      </c>
      <c r="J7" s="43" t="inlineStr">
        <is>
          <t>Chờ xem xét</t>
        </is>
      </c>
      <c r="K7" s="129">
        <f>SUMIF('03_Chi_tieu'!$B$7:$B$96,A7,'03_Chi_tieu'!$S$7:$S$96)</f>
        <v/>
      </c>
      <c r="L7" s="128">
        <f>IF(COUNTIFS('03_Chi_tieu'!$B$7:$B$96,A7,'03_Chi_tieu'!$I$7:$I$96,"&gt;0")=0,"",SUMIF('03_Chi_tieu'!$B$7:$B$96,A7,'03_Chi_tieu'!$I$7:$I$96))</f>
        <v/>
      </c>
      <c r="M7" s="128">
        <f>IF(ISNUMBER(L7),G7-L7,"")</f>
        <v/>
      </c>
      <c r="N7" s="43" t="inlineStr">
        <is>
          <t>Đối chiếu đúng tệp, nhu cầu tìm kiếm và hệ thống đo lường.</t>
        </is>
      </c>
    </row>
    <row r="8" ht="62" customHeight="1">
      <c r="A8" s="5" t="inlineStr">
        <is>
          <t>G2</t>
        </is>
      </c>
      <c r="B8" s="5" t="inlineStr">
        <is>
          <t>2. Xác nhận</t>
        </is>
      </c>
      <c r="C8" s="129">
        <f>'01_Thiet_lap'!$D$14</f>
        <v/>
      </c>
      <c r="D8" s="130" t="inlineStr">
        <is>
          <t>[Chưa chốt]</t>
        </is>
      </c>
      <c r="E8" s="130" t="inlineStr">
        <is>
          <t>[Chưa chốt]</t>
        </is>
      </c>
      <c r="F8" s="128">
        <f>'01_Thiet_lap'!$D$7</f>
        <v/>
      </c>
      <c r="G8" s="128">
        <f>C8*F8</f>
        <v/>
      </c>
      <c r="H8" s="128">
        <f>C8*'01_Thiet_lap'!$D$11</f>
        <v/>
      </c>
      <c r="I8" s="128">
        <f>C8*'01_Thiet_lap'!$D$10</f>
        <v/>
      </c>
      <c r="J8" s="43" t="inlineStr">
        <is>
          <t>Chờ xem xét</t>
        </is>
      </c>
      <c r="K8" s="129">
        <f>SUMIF('03_Chi_tieu'!$B$7:$B$96,A8,'03_Chi_tieu'!$S$7:$S$96)</f>
        <v/>
      </c>
      <c r="L8" s="128">
        <f>IF(COUNTIFS('03_Chi_tieu'!$B$7:$B$96,A8,'03_Chi_tieu'!$I$7:$I$96,"&gt;0")=0,"",SUMIF('03_Chi_tieu'!$B$7:$B$96,A8,'03_Chi_tieu'!$I$7:$I$96))</f>
        <v/>
      </c>
      <c r="M8" s="128">
        <f>IF(ISNUMBER(L8),G8-L8,"")</f>
        <v/>
      </c>
      <c r="N8" s="43" t="inlineStr">
        <is>
          <t>Theo dõi thông điệp/nhóm có tín hiệu tốt và khả năng duy trì.</t>
        </is>
      </c>
    </row>
    <row r="9" ht="62" customHeight="1">
      <c r="A9" s="5" t="inlineStr">
        <is>
          <t>G3.1</t>
        </is>
      </c>
      <c r="B9" s="5" t="inlineStr">
        <is>
          <t>3. Cấp 1 — chu kỳ 1</t>
        </is>
      </c>
      <c r="C9" s="129">
        <f>'01_Thiet_lap'!$D$15</f>
        <v/>
      </c>
      <c r="D9" s="130" t="inlineStr">
        <is>
          <t>[Chưa chốt]</t>
        </is>
      </c>
      <c r="E9" s="130" t="inlineStr">
        <is>
          <t>[Chưa chốt]</t>
        </is>
      </c>
      <c r="F9" s="128">
        <f>'01_Thiet_lap'!$D$7</f>
        <v/>
      </c>
      <c r="G9" s="128">
        <f>C9*F9</f>
        <v/>
      </c>
      <c r="H9" s="128">
        <f>C9*'01_Thiet_lap'!$D$11</f>
        <v/>
      </c>
      <c r="I9" s="128">
        <f>C9*'01_Thiet_lap'!$D$10</f>
        <v/>
      </c>
      <c r="J9" s="43" t="inlineStr">
        <is>
          <t>Chờ xem xét</t>
        </is>
      </c>
      <c r="K9" s="129">
        <f>SUMIF('03_Chi_tieu'!$B$7:$B$96,A9,'03_Chi_tieu'!$S$7:$S$96)</f>
        <v/>
      </c>
      <c r="L9" s="128">
        <f>IF(COUNTIFS('03_Chi_tieu'!$B$7:$B$96,A9,'03_Chi_tieu'!$I$7:$I$96,"&gt;0")=0,"",SUMIF('03_Chi_tieu'!$B$7:$B$96,A9,'03_Chi_tieu'!$I$7:$I$96))</f>
        <v/>
      </c>
      <c r="M9" s="128">
        <f>IF(ISNUMBER(L9),G9-L9,"")</f>
        <v/>
      </c>
      <c r="N9" s="43" t="inlineStr">
        <is>
          <t>Điều chỉnh dự phòng trong tổng khung 1.000.000 VNĐ/ngày.</t>
        </is>
      </c>
    </row>
    <row r="10" ht="62" customHeight="1">
      <c r="A10" s="5" t="inlineStr">
        <is>
          <t>G3.2</t>
        </is>
      </c>
      <c r="B10" s="5" t="inlineStr">
        <is>
          <t>3. Cấp 1 — chu kỳ 2</t>
        </is>
      </c>
      <c r="C10" s="129">
        <f>'01_Thiet_lap'!$D$15</f>
        <v/>
      </c>
      <c r="D10" s="130" t="inlineStr">
        <is>
          <t>[Chưa chốt]</t>
        </is>
      </c>
      <c r="E10" s="130" t="inlineStr">
        <is>
          <t>[Chưa chốt]</t>
        </is>
      </c>
      <c r="F10" s="128">
        <f>'01_Thiet_lap'!$D$7</f>
        <v/>
      </c>
      <c r="G10" s="128">
        <f>C10*F10</f>
        <v/>
      </c>
      <c r="H10" s="128">
        <f>C10*'01_Thiet_lap'!$D$11</f>
        <v/>
      </c>
      <c r="I10" s="128">
        <f>C10*'01_Thiet_lap'!$D$10</f>
        <v/>
      </c>
      <c r="J10" s="43" t="inlineStr">
        <is>
          <t>Chờ xem xét</t>
        </is>
      </c>
      <c r="K10" s="129">
        <f>SUMIF('03_Chi_tieu'!$B$7:$B$96,A10,'03_Chi_tieu'!$S$7:$S$96)</f>
        <v/>
      </c>
      <c r="L10" s="128">
        <f>IF(COUNTIFS('03_Chi_tieu'!$B$7:$B$96,A10,'03_Chi_tieu'!$I$7:$I$96,"&gt;0")=0,"",SUMIF('03_Chi_tieu'!$B$7:$B$96,A10,'03_Chi_tieu'!$I$7:$I$96))</f>
        <v/>
      </c>
      <c r="M10" s="128">
        <f>IF(ISNUMBER(L10),G10-L10,"")</f>
        <v/>
      </c>
      <c r="N10" s="43" t="inlineStr">
        <is>
          <t>Xác nhận khả năng lặp lại trước khi xem xét trình cấp 2.</t>
        </is>
      </c>
    </row>
    <row r="11" ht="62" customHeight="1">
      <c r="A11" s="5" t="inlineStr">
        <is>
          <t>G4</t>
        </is>
      </c>
      <c r="B11" s="5" t="inlineStr">
        <is>
          <t>4. Cấp 2 — 7 ngày đầu</t>
        </is>
      </c>
      <c r="C11" s="129">
        <f>'01_Thiet_lap'!$D$17</f>
        <v/>
      </c>
      <c r="D11" s="130" t="inlineStr">
        <is>
          <t>[Chưa chốt]</t>
        </is>
      </c>
      <c r="E11" s="130" t="inlineStr">
        <is>
          <t>[Chưa chốt]</t>
        </is>
      </c>
      <c r="F11" s="128">
        <f>'01_Thiet_lap'!$D$12</f>
        <v/>
      </c>
      <c r="G11" s="128">
        <f>C11*F11</f>
        <v/>
      </c>
      <c r="H11" s="128">
        <f>IF(ISNUMBER('01_Thiet_lap'!$D$24),C11*(F11-'01_Thiet_lap'!$D$24),"")</f>
        <v/>
      </c>
      <c r="I11" s="128">
        <f>IF(ISNUMBER('01_Thiet_lap'!$D$24),C11*'01_Thiet_lap'!$D$24,"")</f>
        <v/>
      </c>
      <c r="J11" s="43" t="inlineStr">
        <is>
          <t>Chờ xem xét</t>
        </is>
      </c>
      <c r="K11" s="129">
        <f>SUMIF('03_Chi_tieu'!$B$7:$B$96,A11,'03_Chi_tieu'!$S$7:$S$96)</f>
        <v/>
      </c>
      <c r="L11" s="128">
        <f>IF(COUNTIFS('03_Chi_tieu'!$B$7:$B$96,A11,'03_Chi_tieu'!$I$7:$I$96,"&gt;0")=0,"",SUMIF('03_Chi_tieu'!$B$7:$B$96,A11,'03_Chi_tieu'!$I$7:$I$96))</f>
        <v/>
      </c>
      <c r="M11" s="128">
        <f>IF(ISNUMBER(L11),G11-L11,"")</f>
        <v/>
      </c>
      <c r="N11" s="43" t="inlineStr">
        <is>
          <t>Phê duyệt riêng; phân bổ chi tiết chờ thống nhất.</t>
        </is>
      </c>
    </row>
    <row r="12" ht="22" customHeight="1">
      <c r="A12" s="5" t="n"/>
      <c r="B12" s="5" t="n"/>
      <c r="C12" s="5" t="n"/>
      <c r="D12" s="5" t="n"/>
      <c r="E12" s="5" t="n"/>
      <c r="F12" s="5" t="n"/>
      <c r="G12" s="5" t="n"/>
      <c r="H12" s="5" t="n"/>
      <c r="I12" s="5" t="n"/>
      <c r="J12" s="5" t="n"/>
      <c r="K12" s="5" t="n"/>
      <c r="L12" s="5" t="n"/>
      <c r="M12" s="5" t="n"/>
      <c r="N12" s="5" t="n"/>
    </row>
    <row r="13" ht="36" customHeight="1">
      <c r="A13" s="51" t="inlineStr">
        <is>
          <t>Khung tham chiếu đến hết hai chu kỳ cấp 1</t>
        </is>
      </c>
      <c r="B13" s="1" t="n"/>
      <c r="C13" s="1" t="n"/>
      <c r="D13" s="1" t="n"/>
      <c r="E13" s="1" t="n"/>
      <c r="F13" s="1" t="n"/>
      <c r="G13" s="131">
        <f>SUM(G7:G10)</f>
        <v/>
      </c>
      <c r="H13" s="1" t="n"/>
      <c r="I13" s="1" t="n"/>
      <c r="J13" s="17" t="inlineStr">
        <is>
          <t>Có điều kiện; không mặc định là tổng ngân sách đã duyệt.</t>
        </is>
      </c>
      <c r="K13" s="1" t="n"/>
      <c r="L13" s="1" t="n"/>
      <c r="M13" s="1" t="n"/>
      <c r="N13" s="1" t="n"/>
    </row>
    <row r="14" ht="22" customHeight="1">
      <c r="A14" s="5" t="n"/>
      <c r="B14" s="5" t="n"/>
      <c r="C14" s="5" t="n"/>
      <c r="D14" s="5" t="n"/>
      <c r="E14" s="5" t="n"/>
      <c r="F14" s="5" t="n"/>
      <c r="G14" s="5" t="n"/>
      <c r="H14" s="5" t="n"/>
      <c r="I14" s="5" t="n"/>
      <c r="J14" s="5" t="n"/>
      <c r="K14" s="5" t="n"/>
      <c r="L14" s="5" t="n"/>
      <c r="M14" s="5" t="n"/>
      <c r="N14" s="5" t="n"/>
    </row>
    <row r="15" ht="22" customHeight="1">
      <c r="A15" s="17" t="inlineStr">
        <is>
          <t>Khung tham chiếu cấp 1 gồm 7 + 14 + 7 + 7 ngày hợp lệ. Chu kỳ bổ sung hoặc kéo dài cần được ghi nhận trong phạm vi thời gian và ngân sách được duyệt; không tự động cộng thêm ngân sách.</t>
        </is>
      </c>
      <c r="B15" s="1" t="n"/>
      <c r="C15" s="1" t="n"/>
      <c r="D15" s="1" t="n"/>
      <c r="E15" s="1" t="n"/>
      <c r="F15" s="1" t="n"/>
      <c r="G15" s="1" t="n"/>
      <c r="H15" s="1" t="n"/>
      <c r="I15" s="1" t="n"/>
      <c r="J15" s="1" t="n"/>
      <c r="K15" s="1" t="n"/>
      <c r="L15" s="1" t="n"/>
      <c r="M15" s="1" t="n"/>
      <c r="N15" s="1" t="n"/>
    </row>
    <row r="16" ht="22" customHeight="1">
      <c r="A16" s="1" t="n"/>
      <c r="B16" s="1" t="n"/>
      <c r="C16" s="1" t="n"/>
      <c r="D16" s="1" t="n"/>
      <c r="E16" s="1" t="n"/>
      <c r="F16" s="1" t="n"/>
      <c r="G16" s="1" t="n"/>
      <c r="H16" s="1" t="n"/>
      <c r="I16" s="1" t="n"/>
      <c r="J16" s="1" t="n"/>
      <c r="K16" s="1" t="n"/>
      <c r="L16" s="1" t="n"/>
      <c r="M16" s="1" t="n"/>
      <c r="N16" s="1" t="n"/>
    </row>
    <row r="17" ht="22" customHeight="1">
      <c r="A17" s="17" t="inlineStr">
        <is>
          <t>Chi phí thực tế vẫn được tổng hợp kể cả ở ngày chưa đủ điều kiện. Một ngày chỉ được tính tiến độ khi có ngày thực, mã giai đoạn hợp lệ, xác nhận 'Hợp lệ', đủ bốn khoản chi (nhập 0 nếu không phát sinh), tổng chi &gt; 0 và không trùng ngày.</t>
        </is>
      </c>
      <c r="B17" s="1" t="n"/>
      <c r="C17" s="1" t="n"/>
      <c r="D17" s="1" t="n"/>
      <c r="E17" s="1" t="n"/>
      <c r="F17" s="1" t="n"/>
      <c r="G17" s="1" t="n"/>
      <c r="H17" s="1" t="n"/>
      <c r="I17" s="1" t="n"/>
      <c r="J17" s="1" t="n"/>
      <c r="K17" s="1" t="n"/>
      <c r="L17" s="1" t="n"/>
      <c r="M17" s="1" t="n"/>
      <c r="N17" s="1" t="n"/>
    </row>
    <row r="18" ht="22" customHeight="1">
      <c r="A18" s="1" t="n"/>
      <c r="B18" s="1" t="n"/>
      <c r="C18" s="1" t="n"/>
      <c r="D18" s="1" t="n"/>
      <c r="E18" s="1" t="n"/>
      <c r="F18" s="1" t="n"/>
      <c r="G18" s="1" t="n"/>
      <c r="H18" s="1" t="n"/>
      <c r="I18" s="1" t="n"/>
      <c r="J18" s="1" t="n"/>
      <c r="K18" s="1" t="n"/>
      <c r="L18" s="1" t="n"/>
      <c r="M18" s="1" t="n"/>
      <c r="N18" s="1" t="n"/>
    </row>
  </sheetData>
  <mergeCells count="7">
    <mergeCell ref="A1:N2"/>
    <mergeCell ref="A17:N18"/>
    <mergeCell ref="A3:N4"/>
    <mergeCell ref="A13:F13"/>
    <mergeCell ref="G13:I13"/>
    <mergeCell ref="A15:N16"/>
    <mergeCell ref="J13:N13"/>
  </mergeCells>
  <conditionalFormatting sqref="J7:J11">
    <cfRule type="expression" priority="1" dxfId="0">
      <formula>J7="Đã phê duyệt"</formula>
    </cfRule>
    <cfRule type="expression" priority="2" dxfId="1">
      <formula>OR(J7="Cần bổ sung",J7="Cần xem xét thêm")</formula>
    </cfRule>
  </conditionalFormatting>
  <conditionalFormatting sqref="M7:M11">
    <cfRule type="cellIs" priority="3" operator="lessThan" dxfId="2">
      <formula>0</formula>
    </cfRule>
  </conditionalFormatting>
  <dataValidations count="1">
    <dataValidation sqref="J7:J11" showDropDown="0" showInputMessage="0" showErrorMessage="0" allowBlank="0" type="list">
      <formula1>"Chờ xem xét,Đã phê duyệt,Chưa áp dụng"</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S101"/>
  <sheetViews>
    <sheetView workbookViewId="0">
      <selection activeCell="A1" sqref="A1"/>
    </sheetView>
  </sheetViews>
  <sheetFormatPr baseColWidth="8" defaultRowHeight="15"/>
  <cols>
    <col width="16" customWidth="1" min="1" max="1"/>
    <col width="12" customWidth="1" min="2" max="2"/>
    <col width="20" customWidth="1" min="3" max="3"/>
    <col width="20" customWidth="1" min="4" max="4"/>
    <col width="20" customWidth="1" min="5" max="5"/>
    <col width="20" customWidth="1" min="6" max="6"/>
    <col width="20" customWidth="1" min="7" max="7"/>
    <col width="20" customWidth="1" min="8" max="8"/>
    <col width="22" customWidth="1" min="9" max="9"/>
    <col width="22" customWidth="1" min="10" max="10"/>
    <col width="22" customWidth="1" min="11" max="11"/>
    <col width="22" customWidth="1" min="12" max="12"/>
    <col width="20" customWidth="1" min="13" max="13"/>
    <col width="23" customWidth="1" min="14" max="14"/>
    <col width="22" customWidth="1" min="15" max="15"/>
    <col width="36" customWidth="1" min="16" max="16"/>
    <col width="40" customWidth="1" min="17" max="17"/>
    <col width="40" customWidth="1" min="18" max="18"/>
    <col width="17" customWidth="1" min="19" max="19"/>
  </cols>
  <sheetData>
    <row r="1" ht="24" customHeight="1">
      <c r="A1" s="13" t="inlineStr">
        <is>
          <t>NHẬT KÝ CHI TIÊU HẰNG NGÀY</t>
        </is>
      </c>
      <c r="B1" s="1" t="n"/>
      <c r="C1" s="1" t="n"/>
      <c r="D1" s="1" t="n"/>
      <c r="E1" s="1" t="n"/>
      <c r="F1" s="1" t="n"/>
      <c r="G1" s="1" t="n"/>
      <c r="H1" s="1" t="n"/>
      <c r="I1" s="1" t="n"/>
      <c r="J1" s="1" t="n"/>
      <c r="K1" s="1" t="n"/>
      <c r="L1" s="1" t="n"/>
      <c r="M1" s="1" t="n"/>
      <c r="N1" s="1" t="n"/>
      <c r="O1" s="1" t="n"/>
      <c r="P1" s="1" t="n"/>
      <c r="Q1" s="1" t="n"/>
      <c r="R1" s="1" t="n"/>
      <c r="S1" s="1" t="n"/>
    </row>
    <row r="2" ht="24" customHeight="1">
      <c r="A2" s="1" t="n"/>
      <c r="B2" s="1" t="n"/>
      <c r="C2" s="1" t="n"/>
      <c r="D2" s="1" t="n"/>
      <c r="E2" s="1" t="n"/>
      <c r="F2" s="1" t="n"/>
      <c r="G2" s="1" t="n"/>
      <c r="H2" s="1" t="n"/>
      <c r="I2" s="1" t="n"/>
      <c r="J2" s="1" t="n"/>
      <c r="K2" s="1" t="n"/>
      <c r="L2" s="1" t="n"/>
      <c r="M2" s="1" t="n"/>
      <c r="N2" s="1" t="n"/>
      <c r="O2" s="1" t="n"/>
      <c r="P2" s="1" t="n"/>
      <c r="Q2" s="1" t="n"/>
      <c r="R2" s="1" t="n"/>
      <c r="S2" s="1" t="n"/>
    </row>
    <row r="3" ht="22" customHeight="1">
      <c r="A3" s="17" t="inlineStr">
        <is>
          <t>Mỗi ngày một dòng tổng hợp. Thay [Chưa chốt] bằng ngày thực; nhập 0 cho khoản không phát sinh. Dự phòng đã dùng là một phần của chi phí kênh, không cộng thêm vào tổng.</t>
        </is>
      </c>
      <c r="B3" s="1" t="n"/>
      <c r="C3" s="1" t="n"/>
      <c r="D3" s="1" t="n"/>
      <c r="E3" s="1" t="n"/>
      <c r="F3" s="1" t="n"/>
      <c r="G3" s="1" t="n"/>
      <c r="H3" s="1" t="n"/>
      <c r="I3" s="1" t="n"/>
      <c r="J3" s="1" t="n"/>
      <c r="K3" s="1" t="n"/>
      <c r="L3" s="1" t="n"/>
      <c r="M3" s="1" t="n"/>
      <c r="N3" s="1" t="n"/>
      <c r="O3" s="1" t="n"/>
      <c r="P3" s="1" t="n"/>
      <c r="Q3" s="1" t="n"/>
      <c r="R3" s="1" t="n"/>
      <c r="S3" s="1" t="n"/>
    </row>
    <row r="4" ht="22" customHeight="1">
      <c r="A4" s="1" t="n"/>
      <c r="B4" s="1" t="n"/>
      <c r="C4" s="1" t="n"/>
      <c r="D4" s="1" t="n"/>
      <c r="E4" s="1" t="n"/>
      <c r="F4" s="1" t="n"/>
      <c r="G4" s="1" t="n"/>
      <c r="H4" s="1" t="n"/>
      <c r="I4" s="1" t="n"/>
      <c r="J4" s="1" t="n"/>
      <c r="K4" s="1" t="n"/>
      <c r="L4" s="1" t="n"/>
      <c r="M4" s="1" t="n"/>
      <c r="N4" s="1" t="n"/>
      <c r="O4" s="1" t="n"/>
      <c r="P4" s="1" t="n"/>
      <c r="Q4" s="1" t="n"/>
      <c r="R4" s="1" t="n"/>
      <c r="S4" s="1" t="n"/>
    </row>
    <row r="5" ht="22" customHeight="1">
      <c r="A5" s="5" t="n"/>
      <c r="B5" s="5" t="n"/>
      <c r="C5" s="5" t="n"/>
      <c r="D5" s="5" t="n"/>
      <c r="E5" s="5" t="n"/>
      <c r="F5" s="5" t="n"/>
      <c r="G5" s="5" t="n"/>
      <c r="H5" s="5" t="n"/>
      <c r="I5" s="5" t="n"/>
      <c r="J5" s="5" t="n"/>
      <c r="K5" s="5" t="n"/>
      <c r="L5" s="5" t="n"/>
      <c r="M5" s="5" t="n"/>
      <c r="N5" s="5" t="n"/>
      <c r="O5" s="5" t="n"/>
      <c r="P5" s="5" t="n"/>
      <c r="Q5" s="5" t="n"/>
      <c r="R5" s="5" t="n"/>
      <c r="S5" s="5" t="n"/>
    </row>
    <row r="6" ht="42" customHeight="1">
      <c r="A6" s="18" t="inlineStr">
        <is>
          <t>Ngày chạy</t>
        </is>
      </c>
      <c r="B6" s="18" t="inlineStr">
        <is>
          <t>Giai đoạn</t>
        </is>
      </c>
      <c r="C6" s="18" t="inlineStr">
        <is>
          <t>Xác nhận ngày</t>
        </is>
      </c>
      <c r="D6" s="18" t="inlineStr">
        <is>
          <t>Khung đề xuất/ngày</t>
        </is>
      </c>
      <c r="E6" s="18" t="inlineStr">
        <is>
          <t>Thực chi LinkedIn</t>
        </is>
      </c>
      <c r="F6" s="18" t="inlineStr">
        <is>
          <t>Thực chi Search</t>
        </is>
      </c>
      <c r="G6" s="18" t="inlineStr">
        <is>
          <t>Thực chi tiếp thị lại</t>
        </is>
      </c>
      <c r="H6" s="18" t="inlineStr">
        <is>
          <t>Thử nghiệm khác</t>
        </is>
      </c>
      <c r="I6" s="18" t="inlineStr">
        <is>
          <t>Tổng chi quảng cáo</t>
        </is>
      </c>
      <c r="J6" s="18" t="inlineStr">
        <is>
          <t>Trong đó: dự phòng đã dùng</t>
        </is>
      </c>
      <c r="K6" s="18" t="inlineStr">
        <is>
          <t>Dự phòng còn giữ</t>
        </is>
      </c>
      <c r="L6" s="18" t="inlineStr">
        <is>
          <t>Chênh lệch so với khung/ngày</t>
        </is>
      </c>
      <c r="M6" s="18" t="inlineStr">
        <is>
          <t>Thuế/phí thực tế</t>
        </is>
      </c>
      <c r="N6" s="18" t="inlineStr">
        <is>
          <t>Tổng chi gồm thuế/phí</t>
        </is>
      </c>
      <c r="O6" s="18" t="inlineStr">
        <is>
          <t>Phê duyệt giai đoạn</t>
        </is>
      </c>
      <c r="P6" s="18" t="inlineStr">
        <is>
          <t>Nội dung cần rà soát</t>
        </is>
      </c>
      <c r="Q6" s="18" t="inlineStr">
        <is>
          <t>Lý do dùng dự phòng / ghi chú</t>
        </is>
      </c>
      <c r="R6" s="18" t="inlineStr">
        <is>
          <t>Hồ sơ / bằng chứng</t>
        </is>
      </c>
      <c r="S6" s="18" t="inlineStr">
        <is>
          <t>Ngày được tính (0/1)</t>
        </is>
      </c>
    </row>
    <row r="7" ht="38" customHeight="1">
      <c r="A7" s="130" t="inlineStr">
        <is>
          <t>[Chưa chốt]</t>
        </is>
      </c>
      <c r="B7" s="43" t="n"/>
      <c r="C7" s="43" t="inlineStr">
        <is>
          <t>Chưa xác nhận</t>
        </is>
      </c>
      <c r="D7" s="128">
        <f>IF(B7="","",IFERROR(VLOOKUP(B7,'02_Lo_trinh'!$A$7:$N$11,6,FALSE),""))</f>
        <v/>
      </c>
      <c r="E7" s="132" t="n"/>
      <c r="F7" s="132" t="n"/>
      <c r="G7" s="132" t="n"/>
      <c r="H7" s="132" t="n"/>
      <c r="I7" s="128">
        <f>IF(COUNT(E7:H7)=0,"",SUM(E7:H7))</f>
        <v/>
      </c>
      <c r="J7" s="132" t="n"/>
      <c r="K7" s="128">
        <f>IF(OR(S7&lt;&gt;1,NOT(ISNUMBER(J7)),J7&lt;0,J7&gt;I7),"",IF(B7="G4",IF(ISNUMBER('01_Thiet_lap'!$D$24),MAX(0,'01_Thiet_lap'!$D$24-J7),""),MAX(0,'01_Thiet_lap'!$D$10-J7)))</f>
        <v/>
      </c>
      <c r="L7" s="128">
        <f>IF(AND(ISNUMBER(I7),ISNUMBER(D7)),D7-I7,"")</f>
        <v/>
      </c>
      <c r="M7" s="132" t="n"/>
      <c r="N7" s="128">
        <f>IF(AND(ISNUMBER(I7),ISNUMBER(M7)),I7+M7,"")</f>
        <v/>
      </c>
      <c r="O7" s="38">
        <f>IF(B7="","",IFERROR(VLOOKUP(B7,'02_Lo_trinh'!$A$7:$N$11,10,FALSE),"Cần chọn lại giai đoạn"))</f>
        <v/>
      </c>
      <c r="P7" s="38">
        <f>IF(COUNT(E7:H7,M7)=0,"",IF(NOT(ISNUMBER(A7)),"Cần cập nhật ngày",IF(COUNTIF('02_Lo_trinh'!$A$7:$A$11,B7)&lt;&gt;1,"Cần chọn giai đoạn",IF(COUNTIF($A$7:$A$96,A7)&gt;1,"Cần rà soát ngày trùng",IF(COUNT(E7:H7)&lt;4,"Cần nhập đủ 4 khoản chi",IF(MIN(E7:H7)&lt;0,"Cần rà soát khoản chi âm",IF(O7&lt;&gt;"Đã phê duyệt","Cần đối chiếu phê duyệt",IF(NOT(ISNUMBER(J7)),"Cần ghi phần dự phòng",IF(OR(J7&lt;0,J7&gt;I7),"Cần rà soát số tiền dự phòng",IF(AND(B7="G4",NOT(ISNUMBER('01_Thiet_lap'!$D$24))),"Cần chốt dự phòng cấp 2",IF(AND(B7&lt;&gt;"G4",J7&gt;'01_Thiet_lap'!$D$10),"Cần rà soát mức dự phòng",IF(AND(B7="G4",ISNUMBER('01_Thiet_lap'!$D$24),J7&gt;'01_Thiet_lap'!$D$24),"Cần rà soát dự phòng cấp 2",IF(AND(J7&gt;0,Q7=""),"Cần bổ sung lý do dùng dự phòng",IF(C7&lt;&gt;"Hợp lệ","Chi phát sinh ngoài ngày hợp lệ",IF(NOT(ISNUMBER(M7)),"Chờ xác nhận thuế/phí",IF(I7&gt;D7,"Cần rà soát mức chi trong ngày","Đã ghi nhận"))))))))))))))))</f>
        <v/>
      </c>
      <c r="Q7" s="43" t="n"/>
      <c r="R7" s="43" t="n"/>
      <c r="S7" s="129">
        <f>IF(AND(ISNUMBER(A7),COUNTIF('02_Lo_trinh'!$A$7:$A$11,B7)=1,C7="Hợp lệ",COUNT(E7:H7)=4,I7&gt;0,COUNTIF($A$7:$A$96,A7)=1),1,0)</f>
        <v/>
      </c>
    </row>
    <row r="8" ht="38" customHeight="1">
      <c r="A8" s="130" t="inlineStr">
        <is>
          <t>[Chưa chốt]</t>
        </is>
      </c>
      <c r="B8" s="43" t="n"/>
      <c r="C8" s="43" t="inlineStr">
        <is>
          <t>Chưa xác nhận</t>
        </is>
      </c>
      <c r="D8" s="128">
        <f>IF(B8="","",IFERROR(VLOOKUP(B8,'02_Lo_trinh'!$A$7:$N$11,6,FALSE),""))</f>
        <v/>
      </c>
      <c r="E8" s="132" t="n"/>
      <c r="F8" s="132" t="n"/>
      <c r="G8" s="132" t="n"/>
      <c r="H8" s="132" t="n"/>
      <c r="I8" s="128">
        <f>IF(COUNT(E8:H8)=0,"",SUM(E8:H8))</f>
        <v/>
      </c>
      <c r="J8" s="132" t="n"/>
      <c r="K8" s="128">
        <f>IF(OR(S8&lt;&gt;1,NOT(ISNUMBER(J8)),J8&lt;0,J8&gt;I8),"",IF(B8="G4",IF(ISNUMBER('01_Thiet_lap'!$D$24),MAX(0,'01_Thiet_lap'!$D$24-J8),""),MAX(0,'01_Thiet_lap'!$D$10-J8)))</f>
        <v/>
      </c>
      <c r="L8" s="128">
        <f>IF(AND(ISNUMBER(I8),ISNUMBER(D8)),D8-I8,"")</f>
        <v/>
      </c>
      <c r="M8" s="132" t="n"/>
      <c r="N8" s="128">
        <f>IF(AND(ISNUMBER(I8),ISNUMBER(M8)),I8+M8,"")</f>
        <v/>
      </c>
      <c r="O8" s="38">
        <f>IF(B8="","",IFERROR(VLOOKUP(B8,'02_Lo_trinh'!$A$7:$N$11,10,FALSE),"Cần chọn lại giai đoạn"))</f>
        <v/>
      </c>
      <c r="P8" s="38">
        <f>IF(COUNT(E8:H8,M8)=0,"",IF(NOT(ISNUMBER(A8)),"Cần cập nhật ngày",IF(COUNTIF('02_Lo_trinh'!$A$7:$A$11,B8)&lt;&gt;1,"Cần chọn giai đoạn",IF(COUNTIF($A$7:$A$96,A8)&gt;1,"Cần rà soát ngày trùng",IF(COUNT(E8:H8)&lt;4,"Cần nhập đủ 4 khoản chi",IF(MIN(E8:H8)&lt;0,"Cần rà soát khoản chi âm",IF(O8&lt;&gt;"Đã phê duyệt","Cần đối chiếu phê duyệt",IF(NOT(ISNUMBER(J8)),"Cần ghi phần dự phòng",IF(OR(J8&lt;0,J8&gt;I8),"Cần rà soát số tiền dự phòng",IF(AND(B8="G4",NOT(ISNUMBER('01_Thiet_lap'!$D$24))),"Cần chốt dự phòng cấp 2",IF(AND(B8&lt;&gt;"G4",J8&gt;'01_Thiet_lap'!$D$10),"Cần rà soát mức dự phòng",IF(AND(B8="G4",ISNUMBER('01_Thiet_lap'!$D$24),J8&gt;'01_Thiet_lap'!$D$24),"Cần rà soát dự phòng cấp 2",IF(AND(J8&gt;0,Q8=""),"Cần bổ sung lý do dùng dự phòng",IF(C8&lt;&gt;"Hợp lệ","Chi phát sinh ngoài ngày hợp lệ",IF(NOT(ISNUMBER(M8)),"Chờ xác nhận thuế/phí",IF(I8&gt;D8,"Cần rà soát mức chi trong ngày","Đã ghi nhận"))))))))))))))))</f>
        <v/>
      </c>
      <c r="Q8" s="43" t="n"/>
      <c r="R8" s="43" t="n"/>
      <c r="S8" s="129">
        <f>IF(AND(ISNUMBER(A8),COUNTIF('02_Lo_trinh'!$A$7:$A$11,B8)=1,C8="Hợp lệ",COUNT(E8:H8)=4,I8&gt;0,COUNTIF($A$7:$A$96,A8)=1),1,0)</f>
        <v/>
      </c>
    </row>
    <row r="9" ht="38" customHeight="1">
      <c r="A9" s="130" t="inlineStr">
        <is>
          <t>[Chưa chốt]</t>
        </is>
      </c>
      <c r="B9" s="43" t="n"/>
      <c r="C9" s="43" t="inlineStr">
        <is>
          <t>Chưa xác nhận</t>
        </is>
      </c>
      <c r="D9" s="128">
        <f>IF(B9="","",IFERROR(VLOOKUP(B9,'02_Lo_trinh'!$A$7:$N$11,6,FALSE),""))</f>
        <v/>
      </c>
      <c r="E9" s="132" t="n"/>
      <c r="F9" s="132" t="n"/>
      <c r="G9" s="132" t="n"/>
      <c r="H9" s="132" t="n"/>
      <c r="I9" s="128">
        <f>IF(COUNT(E9:H9)=0,"",SUM(E9:H9))</f>
        <v/>
      </c>
      <c r="J9" s="132" t="n"/>
      <c r="K9" s="128">
        <f>IF(OR(S9&lt;&gt;1,NOT(ISNUMBER(J9)),J9&lt;0,J9&gt;I9),"",IF(B9="G4",IF(ISNUMBER('01_Thiet_lap'!$D$24),MAX(0,'01_Thiet_lap'!$D$24-J9),""),MAX(0,'01_Thiet_lap'!$D$10-J9)))</f>
        <v/>
      </c>
      <c r="L9" s="128">
        <f>IF(AND(ISNUMBER(I9),ISNUMBER(D9)),D9-I9,"")</f>
        <v/>
      </c>
      <c r="M9" s="132" t="n"/>
      <c r="N9" s="128">
        <f>IF(AND(ISNUMBER(I9),ISNUMBER(M9)),I9+M9,"")</f>
        <v/>
      </c>
      <c r="O9" s="38">
        <f>IF(B9="","",IFERROR(VLOOKUP(B9,'02_Lo_trinh'!$A$7:$N$11,10,FALSE),"Cần chọn lại giai đoạn"))</f>
        <v/>
      </c>
      <c r="P9" s="38">
        <f>IF(COUNT(E9:H9,M9)=0,"",IF(NOT(ISNUMBER(A9)),"Cần cập nhật ngày",IF(COUNTIF('02_Lo_trinh'!$A$7:$A$11,B9)&lt;&gt;1,"Cần chọn giai đoạn",IF(COUNTIF($A$7:$A$96,A9)&gt;1,"Cần rà soát ngày trùng",IF(COUNT(E9:H9)&lt;4,"Cần nhập đủ 4 khoản chi",IF(MIN(E9:H9)&lt;0,"Cần rà soát khoản chi âm",IF(O9&lt;&gt;"Đã phê duyệt","Cần đối chiếu phê duyệt",IF(NOT(ISNUMBER(J9)),"Cần ghi phần dự phòng",IF(OR(J9&lt;0,J9&gt;I9),"Cần rà soát số tiền dự phòng",IF(AND(B9="G4",NOT(ISNUMBER('01_Thiet_lap'!$D$24))),"Cần chốt dự phòng cấp 2",IF(AND(B9&lt;&gt;"G4",J9&gt;'01_Thiet_lap'!$D$10),"Cần rà soát mức dự phòng",IF(AND(B9="G4",ISNUMBER('01_Thiet_lap'!$D$24),J9&gt;'01_Thiet_lap'!$D$24),"Cần rà soát dự phòng cấp 2",IF(AND(J9&gt;0,Q9=""),"Cần bổ sung lý do dùng dự phòng",IF(C9&lt;&gt;"Hợp lệ","Chi phát sinh ngoài ngày hợp lệ",IF(NOT(ISNUMBER(M9)),"Chờ xác nhận thuế/phí",IF(I9&gt;D9,"Cần rà soát mức chi trong ngày","Đã ghi nhận"))))))))))))))))</f>
        <v/>
      </c>
      <c r="Q9" s="43" t="n"/>
      <c r="R9" s="43" t="n"/>
      <c r="S9" s="129">
        <f>IF(AND(ISNUMBER(A9),COUNTIF('02_Lo_trinh'!$A$7:$A$11,B9)=1,C9="Hợp lệ",COUNT(E9:H9)=4,I9&gt;0,COUNTIF($A$7:$A$96,A9)=1),1,0)</f>
        <v/>
      </c>
    </row>
    <row r="10" ht="38" customHeight="1">
      <c r="A10" s="130" t="inlineStr">
        <is>
          <t>[Chưa chốt]</t>
        </is>
      </c>
      <c r="B10" s="43" t="n"/>
      <c r="C10" s="43" t="inlineStr">
        <is>
          <t>Chưa xác nhận</t>
        </is>
      </c>
      <c r="D10" s="128">
        <f>IF(B10="","",IFERROR(VLOOKUP(B10,'02_Lo_trinh'!$A$7:$N$11,6,FALSE),""))</f>
        <v/>
      </c>
      <c r="E10" s="132" t="n"/>
      <c r="F10" s="132" t="n"/>
      <c r="G10" s="132" t="n"/>
      <c r="H10" s="132" t="n"/>
      <c r="I10" s="128">
        <f>IF(COUNT(E10:H10)=0,"",SUM(E10:H10))</f>
        <v/>
      </c>
      <c r="J10" s="132" t="n"/>
      <c r="K10" s="128">
        <f>IF(OR(S10&lt;&gt;1,NOT(ISNUMBER(J10)),J10&lt;0,J10&gt;I10),"",IF(B10="G4",IF(ISNUMBER('01_Thiet_lap'!$D$24),MAX(0,'01_Thiet_lap'!$D$24-J10),""),MAX(0,'01_Thiet_lap'!$D$10-J10)))</f>
        <v/>
      </c>
      <c r="L10" s="128">
        <f>IF(AND(ISNUMBER(I10),ISNUMBER(D10)),D10-I10,"")</f>
        <v/>
      </c>
      <c r="M10" s="132" t="n"/>
      <c r="N10" s="128">
        <f>IF(AND(ISNUMBER(I10),ISNUMBER(M10)),I10+M10,"")</f>
        <v/>
      </c>
      <c r="O10" s="38">
        <f>IF(B10="","",IFERROR(VLOOKUP(B10,'02_Lo_trinh'!$A$7:$N$11,10,FALSE),"Cần chọn lại giai đoạn"))</f>
        <v/>
      </c>
      <c r="P10" s="38">
        <f>IF(COUNT(E10:H10,M10)=0,"",IF(NOT(ISNUMBER(A10)),"Cần cập nhật ngày",IF(COUNTIF('02_Lo_trinh'!$A$7:$A$11,B10)&lt;&gt;1,"Cần chọn giai đoạn",IF(COUNTIF($A$7:$A$96,A10)&gt;1,"Cần rà soát ngày trùng",IF(COUNT(E10:H10)&lt;4,"Cần nhập đủ 4 khoản chi",IF(MIN(E10:H10)&lt;0,"Cần rà soát khoản chi âm",IF(O10&lt;&gt;"Đã phê duyệt","Cần đối chiếu phê duyệt",IF(NOT(ISNUMBER(J10)),"Cần ghi phần dự phòng",IF(OR(J10&lt;0,J10&gt;I10),"Cần rà soát số tiền dự phòng",IF(AND(B10="G4",NOT(ISNUMBER('01_Thiet_lap'!$D$24))),"Cần chốt dự phòng cấp 2",IF(AND(B10&lt;&gt;"G4",J10&gt;'01_Thiet_lap'!$D$10),"Cần rà soát mức dự phòng",IF(AND(B10="G4",ISNUMBER('01_Thiet_lap'!$D$24),J10&gt;'01_Thiet_lap'!$D$24),"Cần rà soát dự phòng cấp 2",IF(AND(J10&gt;0,Q10=""),"Cần bổ sung lý do dùng dự phòng",IF(C10&lt;&gt;"Hợp lệ","Chi phát sinh ngoài ngày hợp lệ",IF(NOT(ISNUMBER(M10)),"Chờ xác nhận thuế/phí",IF(I10&gt;D10,"Cần rà soát mức chi trong ngày","Đã ghi nhận"))))))))))))))))</f>
        <v/>
      </c>
      <c r="Q10" s="43" t="n"/>
      <c r="R10" s="43" t="n"/>
      <c r="S10" s="129">
        <f>IF(AND(ISNUMBER(A10),COUNTIF('02_Lo_trinh'!$A$7:$A$11,B10)=1,C10="Hợp lệ",COUNT(E10:H10)=4,I10&gt;0,COUNTIF($A$7:$A$96,A10)=1),1,0)</f>
        <v/>
      </c>
    </row>
    <row r="11" ht="38" customHeight="1">
      <c r="A11" s="130" t="inlineStr">
        <is>
          <t>[Chưa chốt]</t>
        </is>
      </c>
      <c r="B11" s="43" t="n"/>
      <c r="C11" s="43" t="inlineStr">
        <is>
          <t>Chưa xác nhận</t>
        </is>
      </c>
      <c r="D11" s="128">
        <f>IF(B11="","",IFERROR(VLOOKUP(B11,'02_Lo_trinh'!$A$7:$N$11,6,FALSE),""))</f>
        <v/>
      </c>
      <c r="E11" s="132" t="n"/>
      <c r="F11" s="132" t="n"/>
      <c r="G11" s="132" t="n"/>
      <c r="H11" s="132" t="n"/>
      <c r="I11" s="128">
        <f>IF(COUNT(E11:H11)=0,"",SUM(E11:H11))</f>
        <v/>
      </c>
      <c r="J11" s="132" t="n"/>
      <c r="K11" s="128">
        <f>IF(OR(S11&lt;&gt;1,NOT(ISNUMBER(J11)),J11&lt;0,J11&gt;I11),"",IF(B11="G4",IF(ISNUMBER('01_Thiet_lap'!$D$24),MAX(0,'01_Thiet_lap'!$D$24-J11),""),MAX(0,'01_Thiet_lap'!$D$10-J11)))</f>
        <v/>
      </c>
      <c r="L11" s="128">
        <f>IF(AND(ISNUMBER(I11),ISNUMBER(D11)),D11-I11,"")</f>
        <v/>
      </c>
      <c r="M11" s="132" t="n"/>
      <c r="N11" s="128">
        <f>IF(AND(ISNUMBER(I11),ISNUMBER(M11)),I11+M11,"")</f>
        <v/>
      </c>
      <c r="O11" s="38">
        <f>IF(B11="","",IFERROR(VLOOKUP(B11,'02_Lo_trinh'!$A$7:$N$11,10,FALSE),"Cần chọn lại giai đoạn"))</f>
        <v/>
      </c>
      <c r="P11" s="38">
        <f>IF(COUNT(E11:H11,M11)=0,"",IF(NOT(ISNUMBER(A11)),"Cần cập nhật ngày",IF(COUNTIF('02_Lo_trinh'!$A$7:$A$11,B11)&lt;&gt;1,"Cần chọn giai đoạn",IF(COUNTIF($A$7:$A$96,A11)&gt;1,"Cần rà soát ngày trùng",IF(COUNT(E11:H11)&lt;4,"Cần nhập đủ 4 khoản chi",IF(MIN(E11:H11)&lt;0,"Cần rà soát khoản chi âm",IF(O11&lt;&gt;"Đã phê duyệt","Cần đối chiếu phê duyệt",IF(NOT(ISNUMBER(J11)),"Cần ghi phần dự phòng",IF(OR(J11&lt;0,J11&gt;I11),"Cần rà soát số tiền dự phòng",IF(AND(B11="G4",NOT(ISNUMBER('01_Thiet_lap'!$D$24))),"Cần chốt dự phòng cấp 2",IF(AND(B11&lt;&gt;"G4",J11&gt;'01_Thiet_lap'!$D$10),"Cần rà soát mức dự phòng",IF(AND(B11="G4",ISNUMBER('01_Thiet_lap'!$D$24),J11&gt;'01_Thiet_lap'!$D$24),"Cần rà soát dự phòng cấp 2",IF(AND(J11&gt;0,Q11=""),"Cần bổ sung lý do dùng dự phòng",IF(C11&lt;&gt;"Hợp lệ","Chi phát sinh ngoài ngày hợp lệ",IF(NOT(ISNUMBER(M11)),"Chờ xác nhận thuế/phí",IF(I11&gt;D11,"Cần rà soát mức chi trong ngày","Đã ghi nhận"))))))))))))))))</f>
        <v/>
      </c>
      <c r="Q11" s="43" t="n"/>
      <c r="R11" s="43" t="n"/>
      <c r="S11" s="129">
        <f>IF(AND(ISNUMBER(A11),COUNTIF('02_Lo_trinh'!$A$7:$A$11,B11)=1,C11="Hợp lệ",COUNT(E11:H11)=4,I11&gt;0,COUNTIF($A$7:$A$96,A11)=1),1,0)</f>
        <v/>
      </c>
    </row>
    <row r="12" ht="38" customHeight="1">
      <c r="A12" s="130" t="inlineStr">
        <is>
          <t>[Chưa chốt]</t>
        </is>
      </c>
      <c r="B12" s="43" t="n"/>
      <c r="C12" s="43" t="inlineStr">
        <is>
          <t>Chưa xác nhận</t>
        </is>
      </c>
      <c r="D12" s="128">
        <f>IF(B12="","",IFERROR(VLOOKUP(B12,'02_Lo_trinh'!$A$7:$N$11,6,FALSE),""))</f>
        <v/>
      </c>
      <c r="E12" s="132" t="n"/>
      <c r="F12" s="132" t="n"/>
      <c r="G12" s="132" t="n"/>
      <c r="H12" s="132" t="n"/>
      <c r="I12" s="128">
        <f>IF(COUNT(E12:H12)=0,"",SUM(E12:H12))</f>
        <v/>
      </c>
      <c r="J12" s="132" t="n"/>
      <c r="K12" s="128">
        <f>IF(OR(S12&lt;&gt;1,NOT(ISNUMBER(J12)),J12&lt;0,J12&gt;I12),"",IF(B12="G4",IF(ISNUMBER('01_Thiet_lap'!$D$24),MAX(0,'01_Thiet_lap'!$D$24-J12),""),MAX(0,'01_Thiet_lap'!$D$10-J12)))</f>
        <v/>
      </c>
      <c r="L12" s="128">
        <f>IF(AND(ISNUMBER(I12),ISNUMBER(D12)),D12-I12,"")</f>
        <v/>
      </c>
      <c r="M12" s="132" t="n"/>
      <c r="N12" s="128">
        <f>IF(AND(ISNUMBER(I12),ISNUMBER(M12)),I12+M12,"")</f>
        <v/>
      </c>
      <c r="O12" s="38">
        <f>IF(B12="","",IFERROR(VLOOKUP(B12,'02_Lo_trinh'!$A$7:$N$11,10,FALSE),"Cần chọn lại giai đoạn"))</f>
        <v/>
      </c>
      <c r="P12" s="38">
        <f>IF(COUNT(E12:H12,M12)=0,"",IF(NOT(ISNUMBER(A12)),"Cần cập nhật ngày",IF(COUNTIF('02_Lo_trinh'!$A$7:$A$11,B12)&lt;&gt;1,"Cần chọn giai đoạn",IF(COUNTIF($A$7:$A$96,A12)&gt;1,"Cần rà soát ngày trùng",IF(COUNT(E12:H12)&lt;4,"Cần nhập đủ 4 khoản chi",IF(MIN(E12:H12)&lt;0,"Cần rà soát khoản chi âm",IF(O12&lt;&gt;"Đã phê duyệt","Cần đối chiếu phê duyệt",IF(NOT(ISNUMBER(J12)),"Cần ghi phần dự phòng",IF(OR(J12&lt;0,J12&gt;I12),"Cần rà soát số tiền dự phòng",IF(AND(B12="G4",NOT(ISNUMBER('01_Thiet_lap'!$D$24))),"Cần chốt dự phòng cấp 2",IF(AND(B12&lt;&gt;"G4",J12&gt;'01_Thiet_lap'!$D$10),"Cần rà soát mức dự phòng",IF(AND(B12="G4",ISNUMBER('01_Thiet_lap'!$D$24),J12&gt;'01_Thiet_lap'!$D$24),"Cần rà soát dự phòng cấp 2",IF(AND(J12&gt;0,Q12=""),"Cần bổ sung lý do dùng dự phòng",IF(C12&lt;&gt;"Hợp lệ","Chi phát sinh ngoài ngày hợp lệ",IF(NOT(ISNUMBER(M12)),"Chờ xác nhận thuế/phí",IF(I12&gt;D12,"Cần rà soát mức chi trong ngày","Đã ghi nhận"))))))))))))))))</f>
        <v/>
      </c>
      <c r="Q12" s="43" t="n"/>
      <c r="R12" s="43" t="n"/>
      <c r="S12" s="129">
        <f>IF(AND(ISNUMBER(A12),COUNTIF('02_Lo_trinh'!$A$7:$A$11,B12)=1,C12="Hợp lệ",COUNT(E12:H12)=4,I12&gt;0,COUNTIF($A$7:$A$96,A12)=1),1,0)</f>
        <v/>
      </c>
    </row>
    <row r="13" ht="38" customHeight="1">
      <c r="A13" s="130" t="inlineStr">
        <is>
          <t>[Chưa chốt]</t>
        </is>
      </c>
      <c r="B13" s="43" t="n"/>
      <c r="C13" s="43" t="inlineStr">
        <is>
          <t>Chưa xác nhận</t>
        </is>
      </c>
      <c r="D13" s="128">
        <f>IF(B13="","",IFERROR(VLOOKUP(B13,'02_Lo_trinh'!$A$7:$N$11,6,FALSE),""))</f>
        <v/>
      </c>
      <c r="E13" s="132" t="n"/>
      <c r="F13" s="132" t="n"/>
      <c r="G13" s="132" t="n"/>
      <c r="H13" s="132" t="n"/>
      <c r="I13" s="128">
        <f>IF(COUNT(E13:H13)=0,"",SUM(E13:H13))</f>
        <v/>
      </c>
      <c r="J13" s="132" t="n"/>
      <c r="K13" s="128">
        <f>IF(OR(S13&lt;&gt;1,NOT(ISNUMBER(J13)),J13&lt;0,J13&gt;I13),"",IF(B13="G4",IF(ISNUMBER('01_Thiet_lap'!$D$24),MAX(0,'01_Thiet_lap'!$D$24-J13),""),MAX(0,'01_Thiet_lap'!$D$10-J13)))</f>
        <v/>
      </c>
      <c r="L13" s="128">
        <f>IF(AND(ISNUMBER(I13),ISNUMBER(D13)),D13-I13,"")</f>
        <v/>
      </c>
      <c r="M13" s="132" t="n"/>
      <c r="N13" s="128">
        <f>IF(AND(ISNUMBER(I13),ISNUMBER(M13)),I13+M13,"")</f>
        <v/>
      </c>
      <c r="O13" s="38">
        <f>IF(B13="","",IFERROR(VLOOKUP(B13,'02_Lo_trinh'!$A$7:$N$11,10,FALSE),"Cần chọn lại giai đoạn"))</f>
        <v/>
      </c>
      <c r="P13" s="38">
        <f>IF(COUNT(E13:H13,M13)=0,"",IF(NOT(ISNUMBER(A13)),"Cần cập nhật ngày",IF(COUNTIF('02_Lo_trinh'!$A$7:$A$11,B13)&lt;&gt;1,"Cần chọn giai đoạn",IF(COUNTIF($A$7:$A$96,A13)&gt;1,"Cần rà soát ngày trùng",IF(COUNT(E13:H13)&lt;4,"Cần nhập đủ 4 khoản chi",IF(MIN(E13:H13)&lt;0,"Cần rà soát khoản chi âm",IF(O13&lt;&gt;"Đã phê duyệt","Cần đối chiếu phê duyệt",IF(NOT(ISNUMBER(J13)),"Cần ghi phần dự phòng",IF(OR(J13&lt;0,J13&gt;I13),"Cần rà soát số tiền dự phòng",IF(AND(B13="G4",NOT(ISNUMBER('01_Thiet_lap'!$D$24))),"Cần chốt dự phòng cấp 2",IF(AND(B13&lt;&gt;"G4",J13&gt;'01_Thiet_lap'!$D$10),"Cần rà soát mức dự phòng",IF(AND(B13="G4",ISNUMBER('01_Thiet_lap'!$D$24),J13&gt;'01_Thiet_lap'!$D$24),"Cần rà soát dự phòng cấp 2",IF(AND(J13&gt;0,Q13=""),"Cần bổ sung lý do dùng dự phòng",IF(C13&lt;&gt;"Hợp lệ","Chi phát sinh ngoài ngày hợp lệ",IF(NOT(ISNUMBER(M13)),"Chờ xác nhận thuế/phí",IF(I13&gt;D13,"Cần rà soát mức chi trong ngày","Đã ghi nhận"))))))))))))))))</f>
        <v/>
      </c>
      <c r="Q13" s="43" t="n"/>
      <c r="R13" s="43" t="n"/>
      <c r="S13" s="129">
        <f>IF(AND(ISNUMBER(A13),COUNTIF('02_Lo_trinh'!$A$7:$A$11,B13)=1,C13="Hợp lệ",COUNT(E13:H13)=4,I13&gt;0,COUNTIF($A$7:$A$96,A13)=1),1,0)</f>
        <v/>
      </c>
    </row>
    <row r="14" ht="38" customHeight="1">
      <c r="A14" s="130" t="inlineStr">
        <is>
          <t>[Chưa chốt]</t>
        </is>
      </c>
      <c r="B14" s="43" t="n"/>
      <c r="C14" s="43" t="inlineStr">
        <is>
          <t>Chưa xác nhận</t>
        </is>
      </c>
      <c r="D14" s="128">
        <f>IF(B14="","",IFERROR(VLOOKUP(B14,'02_Lo_trinh'!$A$7:$N$11,6,FALSE),""))</f>
        <v/>
      </c>
      <c r="E14" s="132" t="n"/>
      <c r="F14" s="132" t="n"/>
      <c r="G14" s="132" t="n"/>
      <c r="H14" s="132" t="n"/>
      <c r="I14" s="128">
        <f>IF(COUNT(E14:H14)=0,"",SUM(E14:H14))</f>
        <v/>
      </c>
      <c r="J14" s="132" t="n"/>
      <c r="K14" s="128">
        <f>IF(OR(S14&lt;&gt;1,NOT(ISNUMBER(J14)),J14&lt;0,J14&gt;I14),"",IF(B14="G4",IF(ISNUMBER('01_Thiet_lap'!$D$24),MAX(0,'01_Thiet_lap'!$D$24-J14),""),MAX(0,'01_Thiet_lap'!$D$10-J14)))</f>
        <v/>
      </c>
      <c r="L14" s="128">
        <f>IF(AND(ISNUMBER(I14),ISNUMBER(D14)),D14-I14,"")</f>
        <v/>
      </c>
      <c r="M14" s="132" t="n"/>
      <c r="N14" s="128">
        <f>IF(AND(ISNUMBER(I14),ISNUMBER(M14)),I14+M14,"")</f>
        <v/>
      </c>
      <c r="O14" s="38">
        <f>IF(B14="","",IFERROR(VLOOKUP(B14,'02_Lo_trinh'!$A$7:$N$11,10,FALSE),"Cần chọn lại giai đoạn"))</f>
        <v/>
      </c>
      <c r="P14" s="38">
        <f>IF(COUNT(E14:H14,M14)=0,"",IF(NOT(ISNUMBER(A14)),"Cần cập nhật ngày",IF(COUNTIF('02_Lo_trinh'!$A$7:$A$11,B14)&lt;&gt;1,"Cần chọn giai đoạn",IF(COUNTIF($A$7:$A$96,A14)&gt;1,"Cần rà soát ngày trùng",IF(COUNT(E14:H14)&lt;4,"Cần nhập đủ 4 khoản chi",IF(MIN(E14:H14)&lt;0,"Cần rà soát khoản chi âm",IF(O14&lt;&gt;"Đã phê duyệt","Cần đối chiếu phê duyệt",IF(NOT(ISNUMBER(J14)),"Cần ghi phần dự phòng",IF(OR(J14&lt;0,J14&gt;I14),"Cần rà soát số tiền dự phòng",IF(AND(B14="G4",NOT(ISNUMBER('01_Thiet_lap'!$D$24))),"Cần chốt dự phòng cấp 2",IF(AND(B14&lt;&gt;"G4",J14&gt;'01_Thiet_lap'!$D$10),"Cần rà soát mức dự phòng",IF(AND(B14="G4",ISNUMBER('01_Thiet_lap'!$D$24),J14&gt;'01_Thiet_lap'!$D$24),"Cần rà soát dự phòng cấp 2",IF(AND(J14&gt;0,Q14=""),"Cần bổ sung lý do dùng dự phòng",IF(C14&lt;&gt;"Hợp lệ","Chi phát sinh ngoài ngày hợp lệ",IF(NOT(ISNUMBER(M14)),"Chờ xác nhận thuế/phí",IF(I14&gt;D14,"Cần rà soát mức chi trong ngày","Đã ghi nhận"))))))))))))))))</f>
        <v/>
      </c>
      <c r="Q14" s="43" t="n"/>
      <c r="R14" s="43" t="n"/>
      <c r="S14" s="129">
        <f>IF(AND(ISNUMBER(A14),COUNTIF('02_Lo_trinh'!$A$7:$A$11,B14)=1,C14="Hợp lệ",COUNT(E14:H14)=4,I14&gt;0,COUNTIF($A$7:$A$96,A14)=1),1,0)</f>
        <v/>
      </c>
    </row>
    <row r="15" ht="38" customHeight="1">
      <c r="A15" s="130" t="inlineStr">
        <is>
          <t>[Chưa chốt]</t>
        </is>
      </c>
      <c r="B15" s="43" t="n"/>
      <c r="C15" s="43" t="inlineStr">
        <is>
          <t>Chưa xác nhận</t>
        </is>
      </c>
      <c r="D15" s="128">
        <f>IF(B15="","",IFERROR(VLOOKUP(B15,'02_Lo_trinh'!$A$7:$N$11,6,FALSE),""))</f>
        <v/>
      </c>
      <c r="E15" s="132" t="n"/>
      <c r="F15" s="132" t="n"/>
      <c r="G15" s="132" t="n"/>
      <c r="H15" s="132" t="n"/>
      <c r="I15" s="128">
        <f>IF(COUNT(E15:H15)=0,"",SUM(E15:H15))</f>
        <v/>
      </c>
      <c r="J15" s="132" t="n"/>
      <c r="K15" s="128">
        <f>IF(OR(S15&lt;&gt;1,NOT(ISNUMBER(J15)),J15&lt;0,J15&gt;I15),"",IF(B15="G4",IF(ISNUMBER('01_Thiet_lap'!$D$24),MAX(0,'01_Thiet_lap'!$D$24-J15),""),MAX(0,'01_Thiet_lap'!$D$10-J15)))</f>
        <v/>
      </c>
      <c r="L15" s="128">
        <f>IF(AND(ISNUMBER(I15),ISNUMBER(D15)),D15-I15,"")</f>
        <v/>
      </c>
      <c r="M15" s="132" t="n"/>
      <c r="N15" s="128">
        <f>IF(AND(ISNUMBER(I15),ISNUMBER(M15)),I15+M15,"")</f>
        <v/>
      </c>
      <c r="O15" s="38">
        <f>IF(B15="","",IFERROR(VLOOKUP(B15,'02_Lo_trinh'!$A$7:$N$11,10,FALSE),"Cần chọn lại giai đoạn"))</f>
        <v/>
      </c>
      <c r="P15" s="38">
        <f>IF(COUNT(E15:H15,M15)=0,"",IF(NOT(ISNUMBER(A15)),"Cần cập nhật ngày",IF(COUNTIF('02_Lo_trinh'!$A$7:$A$11,B15)&lt;&gt;1,"Cần chọn giai đoạn",IF(COUNTIF($A$7:$A$96,A15)&gt;1,"Cần rà soát ngày trùng",IF(COUNT(E15:H15)&lt;4,"Cần nhập đủ 4 khoản chi",IF(MIN(E15:H15)&lt;0,"Cần rà soát khoản chi âm",IF(O15&lt;&gt;"Đã phê duyệt","Cần đối chiếu phê duyệt",IF(NOT(ISNUMBER(J15)),"Cần ghi phần dự phòng",IF(OR(J15&lt;0,J15&gt;I15),"Cần rà soát số tiền dự phòng",IF(AND(B15="G4",NOT(ISNUMBER('01_Thiet_lap'!$D$24))),"Cần chốt dự phòng cấp 2",IF(AND(B15&lt;&gt;"G4",J15&gt;'01_Thiet_lap'!$D$10),"Cần rà soát mức dự phòng",IF(AND(B15="G4",ISNUMBER('01_Thiet_lap'!$D$24),J15&gt;'01_Thiet_lap'!$D$24),"Cần rà soát dự phòng cấp 2",IF(AND(J15&gt;0,Q15=""),"Cần bổ sung lý do dùng dự phòng",IF(C15&lt;&gt;"Hợp lệ","Chi phát sinh ngoài ngày hợp lệ",IF(NOT(ISNUMBER(M15)),"Chờ xác nhận thuế/phí",IF(I15&gt;D15,"Cần rà soát mức chi trong ngày","Đã ghi nhận"))))))))))))))))</f>
        <v/>
      </c>
      <c r="Q15" s="43" t="n"/>
      <c r="R15" s="43" t="n"/>
      <c r="S15" s="129">
        <f>IF(AND(ISNUMBER(A15),COUNTIF('02_Lo_trinh'!$A$7:$A$11,B15)=1,C15="Hợp lệ",COUNT(E15:H15)=4,I15&gt;0,COUNTIF($A$7:$A$96,A15)=1),1,0)</f>
        <v/>
      </c>
    </row>
    <row r="16" ht="38" customHeight="1">
      <c r="A16" s="130" t="inlineStr">
        <is>
          <t>[Chưa chốt]</t>
        </is>
      </c>
      <c r="B16" s="43" t="n"/>
      <c r="C16" s="43" t="inlineStr">
        <is>
          <t>Chưa xác nhận</t>
        </is>
      </c>
      <c r="D16" s="128">
        <f>IF(B16="","",IFERROR(VLOOKUP(B16,'02_Lo_trinh'!$A$7:$N$11,6,FALSE),""))</f>
        <v/>
      </c>
      <c r="E16" s="132" t="n"/>
      <c r="F16" s="132" t="n"/>
      <c r="G16" s="132" t="n"/>
      <c r="H16" s="132" t="n"/>
      <c r="I16" s="128">
        <f>IF(COUNT(E16:H16)=0,"",SUM(E16:H16))</f>
        <v/>
      </c>
      <c r="J16" s="132" t="n"/>
      <c r="K16" s="128">
        <f>IF(OR(S16&lt;&gt;1,NOT(ISNUMBER(J16)),J16&lt;0,J16&gt;I16),"",IF(B16="G4",IF(ISNUMBER('01_Thiet_lap'!$D$24),MAX(0,'01_Thiet_lap'!$D$24-J16),""),MAX(0,'01_Thiet_lap'!$D$10-J16)))</f>
        <v/>
      </c>
      <c r="L16" s="128">
        <f>IF(AND(ISNUMBER(I16),ISNUMBER(D16)),D16-I16,"")</f>
        <v/>
      </c>
      <c r="M16" s="132" t="n"/>
      <c r="N16" s="128">
        <f>IF(AND(ISNUMBER(I16),ISNUMBER(M16)),I16+M16,"")</f>
        <v/>
      </c>
      <c r="O16" s="38">
        <f>IF(B16="","",IFERROR(VLOOKUP(B16,'02_Lo_trinh'!$A$7:$N$11,10,FALSE),"Cần chọn lại giai đoạn"))</f>
        <v/>
      </c>
      <c r="P16" s="38">
        <f>IF(COUNT(E16:H16,M16)=0,"",IF(NOT(ISNUMBER(A16)),"Cần cập nhật ngày",IF(COUNTIF('02_Lo_trinh'!$A$7:$A$11,B16)&lt;&gt;1,"Cần chọn giai đoạn",IF(COUNTIF($A$7:$A$96,A16)&gt;1,"Cần rà soát ngày trùng",IF(COUNT(E16:H16)&lt;4,"Cần nhập đủ 4 khoản chi",IF(MIN(E16:H16)&lt;0,"Cần rà soát khoản chi âm",IF(O16&lt;&gt;"Đã phê duyệt","Cần đối chiếu phê duyệt",IF(NOT(ISNUMBER(J16)),"Cần ghi phần dự phòng",IF(OR(J16&lt;0,J16&gt;I16),"Cần rà soát số tiền dự phòng",IF(AND(B16="G4",NOT(ISNUMBER('01_Thiet_lap'!$D$24))),"Cần chốt dự phòng cấp 2",IF(AND(B16&lt;&gt;"G4",J16&gt;'01_Thiet_lap'!$D$10),"Cần rà soát mức dự phòng",IF(AND(B16="G4",ISNUMBER('01_Thiet_lap'!$D$24),J16&gt;'01_Thiet_lap'!$D$24),"Cần rà soát dự phòng cấp 2",IF(AND(J16&gt;0,Q16=""),"Cần bổ sung lý do dùng dự phòng",IF(C16&lt;&gt;"Hợp lệ","Chi phát sinh ngoài ngày hợp lệ",IF(NOT(ISNUMBER(M16)),"Chờ xác nhận thuế/phí",IF(I16&gt;D16,"Cần rà soát mức chi trong ngày","Đã ghi nhận"))))))))))))))))</f>
        <v/>
      </c>
      <c r="Q16" s="43" t="n"/>
      <c r="R16" s="43" t="n"/>
      <c r="S16" s="129">
        <f>IF(AND(ISNUMBER(A16),COUNTIF('02_Lo_trinh'!$A$7:$A$11,B16)=1,C16="Hợp lệ",COUNT(E16:H16)=4,I16&gt;0,COUNTIF($A$7:$A$96,A16)=1),1,0)</f>
        <v/>
      </c>
    </row>
    <row r="17" ht="38" customHeight="1">
      <c r="A17" s="130" t="inlineStr">
        <is>
          <t>[Chưa chốt]</t>
        </is>
      </c>
      <c r="B17" s="43" t="n"/>
      <c r="C17" s="43" t="inlineStr">
        <is>
          <t>Chưa xác nhận</t>
        </is>
      </c>
      <c r="D17" s="128">
        <f>IF(B17="","",IFERROR(VLOOKUP(B17,'02_Lo_trinh'!$A$7:$N$11,6,FALSE),""))</f>
        <v/>
      </c>
      <c r="E17" s="132" t="n"/>
      <c r="F17" s="132" t="n"/>
      <c r="G17" s="132" t="n"/>
      <c r="H17" s="132" t="n"/>
      <c r="I17" s="128">
        <f>IF(COUNT(E17:H17)=0,"",SUM(E17:H17))</f>
        <v/>
      </c>
      <c r="J17" s="132" t="n"/>
      <c r="K17" s="128">
        <f>IF(OR(S17&lt;&gt;1,NOT(ISNUMBER(J17)),J17&lt;0,J17&gt;I17),"",IF(B17="G4",IF(ISNUMBER('01_Thiet_lap'!$D$24),MAX(0,'01_Thiet_lap'!$D$24-J17),""),MAX(0,'01_Thiet_lap'!$D$10-J17)))</f>
        <v/>
      </c>
      <c r="L17" s="128">
        <f>IF(AND(ISNUMBER(I17),ISNUMBER(D17)),D17-I17,"")</f>
        <v/>
      </c>
      <c r="M17" s="132" t="n"/>
      <c r="N17" s="128">
        <f>IF(AND(ISNUMBER(I17),ISNUMBER(M17)),I17+M17,"")</f>
        <v/>
      </c>
      <c r="O17" s="38">
        <f>IF(B17="","",IFERROR(VLOOKUP(B17,'02_Lo_trinh'!$A$7:$N$11,10,FALSE),"Cần chọn lại giai đoạn"))</f>
        <v/>
      </c>
      <c r="P17" s="38">
        <f>IF(COUNT(E17:H17,M17)=0,"",IF(NOT(ISNUMBER(A17)),"Cần cập nhật ngày",IF(COUNTIF('02_Lo_trinh'!$A$7:$A$11,B17)&lt;&gt;1,"Cần chọn giai đoạn",IF(COUNTIF($A$7:$A$96,A17)&gt;1,"Cần rà soát ngày trùng",IF(COUNT(E17:H17)&lt;4,"Cần nhập đủ 4 khoản chi",IF(MIN(E17:H17)&lt;0,"Cần rà soát khoản chi âm",IF(O17&lt;&gt;"Đã phê duyệt","Cần đối chiếu phê duyệt",IF(NOT(ISNUMBER(J17)),"Cần ghi phần dự phòng",IF(OR(J17&lt;0,J17&gt;I17),"Cần rà soát số tiền dự phòng",IF(AND(B17="G4",NOT(ISNUMBER('01_Thiet_lap'!$D$24))),"Cần chốt dự phòng cấp 2",IF(AND(B17&lt;&gt;"G4",J17&gt;'01_Thiet_lap'!$D$10),"Cần rà soát mức dự phòng",IF(AND(B17="G4",ISNUMBER('01_Thiet_lap'!$D$24),J17&gt;'01_Thiet_lap'!$D$24),"Cần rà soát dự phòng cấp 2",IF(AND(J17&gt;0,Q17=""),"Cần bổ sung lý do dùng dự phòng",IF(C17&lt;&gt;"Hợp lệ","Chi phát sinh ngoài ngày hợp lệ",IF(NOT(ISNUMBER(M17)),"Chờ xác nhận thuế/phí",IF(I17&gt;D17,"Cần rà soát mức chi trong ngày","Đã ghi nhận"))))))))))))))))</f>
        <v/>
      </c>
      <c r="Q17" s="43" t="n"/>
      <c r="R17" s="43" t="n"/>
      <c r="S17" s="129">
        <f>IF(AND(ISNUMBER(A17),COUNTIF('02_Lo_trinh'!$A$7:$A$11,B17)=1,C17="Hợp lệ",COUNT(E17:H17)=4,I17&gt;0,COUNTIF($A$7:$A$96,A17)=1),1,0)</f>
        <v/>
      </c>
    </row>
    <row r="18" ht="38" customHeight="1">
      <c r="A18" s="130" t="inlineStr">
        <is>
          <t>[Chưa chốt]</t>
        </is>
      </c>
      <c r="B18" s="43" t="n"/>
      <c r="C18" s="43" t="inlineStr">
        <is>
          <t>Chưa xác nhận</t>
        </is>
      </c>
      <c r="D18" s="128">
        <f>IF(B18="","",IFERROR(VLOOKUP(B18,'02_Lo_trinh'!$A$7:$N$11,6,FALSE),""))</f>
        <v/>
      </c>
      <c r="E18" s="132" t="n"/>
      <c r="F18" s="132" t="n"/>
      <c r="G18" s="132" t="n"/>
      <c r="H18" s="132" t="n"/>
      <c r="I18" s="128">
        <f>IF(COUNT(E18:H18)=0,"",SUM(E18:H18))</f>
        <v/>
      </c>
      <c r="J18" s="132" t="n"/>
      <c r="K18" s="128">
        <f>IF(OR(S18&lt;&gt;1,NOT(ISNUMBER(J18)),J18&lt;0,J18&gt;I18),"",IF(B18="G4",IF(ISNUMBER('01_Thiet_lap'!$D$24),MAX(0,'01_Thiet_lap'!$D$24-J18),""),MAX(0,'01_Thiet_lap'!$D$10-J18)))</f>
        <v/>
      </c>
      <c r="L18" s="128">
        <f>IF(AND(ISNUMBER(I18),ISNUMBER(D18)),D18-I18,"")</f>
        <v/>
      </c>
      <c r="M18" s="132" t="n"/>
      <c r="N18" s="128">
        <f>IF(AND(ISNUMBER(I18),ISNUMBER(M18)),I18+M18,"")</f>
        <v/>
      </c>
      <c r="O18" s="38">
        <f>IF(B18="","",IFERROR(VLOOKUP(B18,'02_Lo_trinh'!$A$7:$N$11,10,FALSE),"Cần chọn lại giai đoạn"))</f>
        <v/>
      </c>
      <c r="P18" s="38">
        <f>IF(COUNT(E18:H18,M18)=0,"",IF(NOT(ISNUMBER(A18)),"Cần cập nhật ngày",IF(COUNTIF('02_Lo_trinh'!$A$7:$A$11,B18)&lt;&gt;1,"Cần chọn giai đoạn",IF(COUNTIF($A$7:$A$96,A18)&gt;1,"Cần rà soát ngày trùng",IF(COUNT(E18:H18)&lt;4,"Cần nhập đủ 4 khoản chi",IF(MIN(E18:H18)&lt;0,"Cần rà soát khoản chi âm",IF(O18&lt;&gt;"Đã phê duyệt","Cần đối chiếu phê duyệt",IF(NOT(ISNUMBER(J18)),"Cần ghi phần dự phòng",IF(OR(J18&lt;0,J18&gt;I18),"Cần rà soát số tiền dự phòng",IF(AND(B18="G4",NOT(ISNUMBER('01_Thiet_lap'!$D$24))),"Cần chốt dự phòng cấp 2",IF(AND(B18&lt;&gt;"G4",J18&gt;'01_Thiet_lap'!$D$10),"Cần rà soát mức dự phòng",IF(AND(B18="G4",ISNUMBER('01_Thiet_lap'!$D$24),J18&gt;'01_Thiet_lap'!$D$24),"Cần rà soát dự phòng cấp 2",IF(AND(J18&gt;0,Q18=""),"Cần bổ sung lý do dùng dự phòng",IF(C18&lt;&gt;"Hợp lệ","Chi phát sinh ngoài ngày hợp lệ",IF(NOT(ISNUMBER(M18)),"Chờ xác nhận thuế/phí",IF(I18&gt;D18,"Cần rà soát mức chi trong ngày","Đã ghi nhận"))))))))))))))))</f>
        <v/>
      </c>
      <c r="Q18" s="43" t="n"/>
      <c r="R18" s="43" t="n"/>
      <c r="S18" s="129">
        <f>IF(AND(ISNUMBER(A18),COUNTIF('02_Lo_trinh'!$A$7:$A$11,B18)=1,C18="Hợp lệ",COUNT(E18:H18)=4,I18&gt;0,COUNTIF($A$7:$A$96,A18)=1),1,0)</f>
        <v/>
      </c>
    </row>
    <row r="19" ht="38" customHeight="1">
      <c r="A19" s="130" t="inlineStr">
        <is>
          <t>[Chưa chốt]</t>
        </is>
      </c>
      <c r="B19" s="43" t="n"/>
      <c r="C19" s="43" t="inlineStr">
        <is>
          <t>Chưa xác nhận</t>
        </is>
      </c>
      <c r="D19" s="128">
        <f>IF(B19="","",IFERROR(VLOOKUP(B19,'02_Lo_trinh'!$A$7:$N$11,6,FALSE),""))</f>
        <v/>
      </c>
      <c r="E19" s="132" t="n"/>
      <c r="F19" s="132" t="n"/>
      <c r="G19" s="132" t="n"/>
      <c r="H19" s="132" t="n"/>
      <c r="I19" s="128">
        <f>IF(COUNT(E19:H19)=0,"",SUM(E19:H19))</f>
        <v/>
      </c>
      <c r="J19" s="132" t="n"/>
      <c r="K19" s="128">
        <f>IF(OR(S19&lt;&gt;1,NOT(ISNUMBER(J19)),J19&lt;0,J19&gt;I19),"",IF(B19="G4",IF(ISNUMBER('01_Thiet_lap'!$D$24),MAX(0,'01_Thiet_lap'!$D$24-J19),""),MAX(0,'01_Thiet_lap'!$D$10-J19)))</f>
        <v/>
      </c>
      <c r="L19" s="128">
        <f>IF(AND(ISNUMBER(I19),ISNUMBER(D19)),D19-I19,"")</f>
        <v/>
      </c>
      <c r="M19" s="132" t="n"/>
      <c r="N19" s="128">
        <f>IF(AND(ISNUMBER(I19),ISNUMBER(M19)),I19+M19,"")</f>
        <v/>
      </c>
      <c r="O19" s="38">
        <f>IF(B19="","",IFERROR(VLOOKUP(B19,'02_Lo_trinh'!$A$7:$N$11,10,FALSE),"Cần chọn lại giai đoạn"))</f>
        <v/>
      </c>
      <c r="P19" s="38">
        <f>IF(COUNT(E19:H19,M19)=0,"",IF(NOT(ISNUMBER(A19)),"Cần cập nhật ngày",IF(COUNTIF('02_Lo_trinh'!$A$7:$A$11,B19)&lt;&gt;1,"Cần chọn giai đoạn",IF(COUNTIF($A$7:$A$96,A19)&gt;1,"Cần rà soát ngày trùng",IF(COUNT(E19:H19)&lt;4,"Cần nhập đủ 4 khoản chi",IF(MIN(E19:H19)&lt;0,"Cần rà soát khoản chi âm",IF(O19&lt;&gt;"Đã phê duyệt","Cần đối chiếu phê duyệt",IF(NOT(ISNUMBER(J19)),"Cần ghi phần dự phòng",IF(OR(J19&lt;0,J19&gt;I19),"Cần rà soát số tiền dự phòng",IF(AND(B19="G4",NOT(ISNUMBER('01_Thiet_lap'!$D$24))),"Cần chốt dự phòng cấp 2",IF(AND(B19&lt;&gt;"G4",J19&gt;'01_Thiet_lap'!$D$10),"Cần rà soát mức dự phòng",IF(AND(B19="G4",ISNUMBER('01_Thiet_lap'!$D$24),J19&gt;'01_Thiet_lap'!$D$24),"Cần rà soát dự phòng cấp 2",IF(AND(J19&gt;0,Q19=""),"Cần bổ sung lý do dùng dự phòng",IF(C19&lt;&gt;"Hợp lệ","Chi phát sinh ngoài ngày hợp lệ",IF(NOT(ISNUMBER(M19)),"Chờ xác nhận thuế/phí",IF(I19&gt;D19,"Cần rà soát mức chi trong ngày","Đã ghi nhận"))))))))))))))))</f>
        <v/>
      </c>
      <c r="Q19" s="43" t="n"/>
      <c r="R19" s="43" t="n"/>
      <c r="S19" s="129">
        <f>IF(AND(ISNUMBER(A19),COUNTIF('02_Lo_trinh'!$A$7:$A$11,B19)=1,C19="Hợp lệ",COUNT(E19:H19)=4,I19&gt;0,COUNTIF($A$7:$A$96,A19)=1),1,0)</f>
        <v/>
      </c>
    </row>
    <row r="20" ht="38" customHeight="1">
      <c r="A20" s="130" t="inlineStr">
        <is>
          <t>[Chưa chốt]</t>
        </is>
      </c>
      <c r="B20" s="43" t="n"/>
      <c r="C20" s="43" t="inlineStr">
        <is>
          <t>Chưa xác nhận</t>
        </is>
      </c>
      <c r="D20" s="128">
        <f>IF(B20="","",IFERROR(VLOOKUP(B20,'02_Lo_trinh'!$A$7:$N$11,6,FALSE),""))</f>
        <v/>
      </c>
      <c r="E20" s="132" t="n"/>
      <c r="F20" s="132" t="n"/>
      <c r="G20" s="132" t="n"/>
      <c r="H20" s="132" t="n"/>
      <c r="I20" s="128">
        <f>IF(COUNT(E20:H20)=0,"",SUM(E20:H20))</f>
        <v/>
      </c>
      <c r="J20" s="132" t="n"/>
      <c r="K20" s="128">
        <f>IF(OR(S20&lt;&gt;1,NOT(ISNUMBER(J20)),J20&lt;0,J20&gt;I20),"",IF(B20="G4",IF(ISNUMBER('01_Thiet_lap'!$D$24),MAX(0,'01_Thiet_lap'!$D$24-J20),""),MAX(0,'01_Thiet_lap'!$D$10-J20)))</f>
        <v/>
      </c>
      <c r="L20" s="128">
        <f>IF(AND(ISNUMBER(I20),ISNUMBER(D20)),D20-I20,"")</f>
        <v/>
      </c>
      <c r="M20" s="132" t="n"/>
      <c r="N20" s="128">
        <f>IF(AND(ISNUMBER(I20),ISNUMBER(M20)),I20+M20,"")</f>
        <v/>
      </c>
      <c r="O20" s="38">
        <f>IF(B20="","",IFERROR(VLOOKUP(B20,'02_Lo_trinh'!$A$7:$N$11,10,FALSE),"Cần chọn lại giai đoạn"))</f>
        <v/>
      </c>
      <c r="P20" s="38">
        <f>IF(COUNT(E20:H20,M20)=0,"",IF(NOT(ISNUMBER(A20)),"Cần cập nhật ngày",IF(COUNTIF('02_Lo_trinh'!$A$7:$A$11,B20)&lt;&gt;1,"Cần chọn giai đoạn",IF(COUNTIF($A$7:$A$96,A20)&gt;1,"Cần rà soát ngày trùng",IF(COUNT(E20:H20)&lt;4,"Cần nhập đủ 4 khoản chi",IF(MIN(E20:H20)&lt;0,"Cần rà soát khoản chi âm",IF(O20&lt;&gt;"Đã phê duyệt","Cần đối chiếu phê duyệt",IF(NOT(ISNUMBER(J20)),"Cần ghi phần dự phòng",IF(OR(J20&lt;0,J20&gt;I20),"Cần rà soát số tiền dự phòng",IF(AND(B20="G4",NOT(ISNUMBER('01_Thiet_lap'!$D$24))),"Cần chốt dự phòng cấp 2",IF(AND(B20&lt;&gt;"G4",J20&gt;'01_Thiet_lap'!$D$10),"Cần rà soát mức dự phòng",IF(AND(B20="G4",ISNUMBER('01_Thiet_lap'!$D$24),J20&gt;'01_Thiet_lap'!$D$24),"Cần rà soát dự phòng cấp 2",IF(AND(J20&gt;0,Q20=""),"Cần bổ sung lý do dùng dự phòng",IF(C20&lt;&gt;"Hợp lệ","Chi phát sinh ngoài ngày hợp lệ",IF(NOT(ISNUMBER(M20)),"Chờ xác nhận thuế/phí",IF(I20&gt;D20,"Cần rà soát mức chi trong ngày","Đã ghi nhận"))))))))))))))))</f>
        <v/>
      </c>
      <c r="Q20" s="43" t="n"/>
      <c r="R20" s="43" t="n"/>
      <c r="S20" s="129">
        <f>IF(AND(ISNUMBER(A20),COUNTIF('02_Lo_trinh'!$A$7:$A$11,B20)=1,C20="Hợp lệ",COUNT(E20:H20)=4,I20&gt;0,COUNTIF($A$7:$A$96,A20)=1),1,0)</f>
        <v/>
      </c>
    </row>
    <row r="21" ht="38" customHeight="1">
      <c r="A21" s="130" t="inlineStr">
        <is>
          <t>[Chưa chốt]</t>
        </is>
      </c>
      <c r="B21" s="43" t="n"/>
      <c r="C21" s="43" t="inlineStr">
        <is>
          <t>Chưa xác nhận</t>
        </is>
      </c>
      <c r="D21" s="128">
        <f>IF(B21="","",IFERROR(VLOOKUP(B21,'02_Lo_trinh'!$A$7:$N$11,6,FALSE),""))</f>
        <v/>
      </c>
      <c r="E21" s="132" t="n"/>
      <c r="F21" s="132" t="n"/>
      <c r="G21" s="132" t="n"/>
      <c r="H21" s="132" t="n"/>
      <c r="I21" s="128">
        <f>IF(COUNT(E21:H21)=0,"",SUM(E21:H21))</f>
        <v/>
      </c>
      <c r="J21" s="132" t="n"/>
      <c r="K21" s="128">
        <f>IF(OR(S21&lt;&gt;1,NOT(ISNUMBER(J21)),J21&lt;0,J21&gt;I21),"",IF(B21="G4",IF(ISNUMBER('01_Thiet_lap'!$D$24),MAX(0,'01_Thiet_lap'!$D$24-J21),""),MAX(0,'01_Thiet_lap'!$D$10-J21)))</f>
        <v/>
      </c>
      <c r="L21" s="128">
        <f>IF(AND(ISNUMBER(I21),ISNUMBER(D21)),D21-I21,"")</f>
        <v/>
      </c>
      <c r="M21" s="132" t="n"/>
      <c r="N21" s="128">
        <f>IF(AND(ISNUMBER(I21),ISNUMBER(M21)),I21+M21,"")</f>
        <v/>
      </c>
      <c r="O21" s="38">
        <f>IF(B21="","",IFERROR(VLOOKUP(B21,'02_Lo_trinh'!$A$7:$N$11,10,FALSE),"Cần chọn lại giai đoạn"))</f>
        <v/>
      </c>
      <c r="P21" s="38">
        <f>IF(COUNT(E21:H21,M21)=0,"",IF(NOT(ISNUMBER(A21)),"Cần cập nhật ngày",IF(COUNTIF('02_Lo_trinh'!$A$7:$A$11,B21)&lt;&gt;1,"Cần chọn giai đoạn",IF(COUNTIF($A$7:$A$96,A21)&gt;1,"Cần rà soát ngày trùng",IF(COUNT(E21:H21)&lt;4,"Cần nhập đủ 4 khoản chi",IF(MIN(E21:H21)&lt;0,"Cần rà soát khoản chi âm",IF(O21&lt;&gt;"Đã phê duyệt","Cần đối chiếu phê duyệt",IF(NOT(ISNUMBER(J21)),"Cần ghi phần dự phòng",IF(OR(J21&lt;0,J21&gt;I21),"Cần rà soát số tiền dự phòng",IF(AND(B21="G4",NOT(ISNUMBER('01_Thiet_lap'!$D$24))),"Cần chốt dự phòng cấp 2",IF(AND(B21&lt;&gt;"G4",J21&gt;'01_Thiet_lap'!$D$10),"Cần rà soát mức dự phòng",IF(AND(B21="G4",ISNUMBER('01_Thiet_lap'!$D$24),J21&gt;'01_Thiet_lap'!$D$24),"Cần rà soát dự phòng cấp 2",IF(AND(J21&gt;0,Q21=""),"Cần bổ sung lý do dùng dự phòng",IF(C21&lt;&gt;"Hợp lệ","Chi phát sinh ngoài ngày hợp lệ",IF(NOT(ISNUMBER(M21)),"Chờ xác nhận thuế/phí",IF(I21&gt;D21,"Cần rà soát mức chi trong ngày","Đã ghi nhận"))))))))))))))))</f>
        <v/>
      </c>
      <c r="Q21" s="43" t="n"/>
      <c r="R21" s="43" t="n"/>
      <c r="S21" s="129">
        <f>IF(AND(ISNUMBER(A21),COUNTIF('02_Lo_trinh'!$A$7:$A$11,B21)=1,C21="Hợp lệ",COUNT(E21:H21)=4,I21&gt;0,COUNTIF($A$7:$A$96,A21)=1),1,0)</f>
        <v/>
      </c>
    </row>
    <row r="22" ht="38" customHeight="1">
      <c r="A22" s="130" t="inlineStr">
        <is>
          <t>[Chưa chốt]</t>
        </is>
      </c>
      <c r="B22" s="43" t="n"/>
      <c r="C22" s="43" t="inlineStr">
        <is>
          <t>Chưa xác nhận</t>
        </is>
      </c>
      <c r="D22" s="128">
        <f>IF(B22="","",IFERROR(VLOOKUP(B22,'02_Lo_trinh'!$A$7:$N$11,6,FALSE),""))</f>
        <v/>
      </c>
      <c r="E22" s="132" t="n"/>
      <c r="F22" s="132" t="n"/>
      <c r="G22" s="132" t="n"/>
      <c r="H22" s="132" t="n"/>
      <c r="I22" s="128">
        <f>IF(COUNT(E22:H22)=0,"",SUM(E22:H22))</f>
        <v/>
      </c>
      <c r="J22" s="132" t="n"/>
      <c r="K22" s="128">
        <f>IF(OR(S22&lt;&gt;1,NOT(ISNUMBER(J22)),J22&lt;0,J22&gt;I22),"",IF(B22="G4",IF(ISNUMBER('01_Thiet_lap'!$D$24),MAX(0,'01_Thiet_lap'!$D$24-J22),""),MAX(0,'01_Thiet_lap'!$D$10-J22)))</f>
        <v/>
      </c>
      <c r="L22" s="128">
        <f>IF(AND(ISNUMBER(I22),ISNUMBER(D22)),D22-I22,"")</f>
        <v/>
      </c>
      <c r="M22" s="132" t="n"/>
      <c r="N22" s="128">
        <f>IF(AND(ISNUMBER(I22),ISNUMBER(M22)),I22+M22,"")</f>
        <v/>
      </c>
      <c r="O22" s="38">
        <f>IF(B22="","",IFERROR(VLOOKUP(B22,'02_Lo_trinh'!$A$7:$N$11,10,FALSE),"Cần chọn lại giai đoạn"))</f>
        <v/>
      </c>
      <c r="P22" s="38">
        <f>IF(COUNT(E22:H22,M22)=0,"",IF(NOT(ISNUMBER(A22)),"Cần cập nhật ngày",IF(COUNTIF('02_Lo_trinh'!$A$7:$A$11,B22)&lt;&gt;1,"Cần chọn giai đoạn",IF(COUNTIF($A$7:$A$96,A22)&gt;1,"Cần rà soát ngày trùng",IF(COUNT(E22:H22)&lt;4,"Cần nhập đủ 4 khoản chi",IF(MIN(E22:H22)&lt;0,"Cần rà soát khoản chi âm",IF(O22&lt;&gt;"Đã phê duyệt","Cần đối chiếu phê duyệt",IF(NOT(ISNUMBER(J22)),"Cần ghi phần dự phòng",IF(OR(J22&lt;0,J22&gt;I22),"Cần rà soát số tiền dự phòng",IF(AND(B22="G4",NOT(ISNUMBER('01_Thiet_lap'!$D$24))),"Cần chốt dự phòng cấp 2",IF(AND(B22&lt;&gt;"G4",J22&gt;'01_Thiet_lap'!$D$10),"Cần rà soát mức dự phòng",IF(AND(B22="G4",ISNUMBER('01_Thiet_lap'!$D$24),J22&gt;'01_Thiet_lap'!$D$24),"Cần rà soát dự phòng cấp 2",IF(AND(J22&gt;0,Q22=""),"Cần bổ sung lý do dùng dự phòng",IF(C22&lt;&gt;"Hợp lệ","Chi phát sinh ngoài ngày hợp lệ",IF(NOT(ISNUMBER(M22)),"Chờ xác nhận thuế/phí",IF(I22&gt;D22,"Cần rà soát mức chi trong ngày","Đã ghi nhận"))))))))))))))))</f>
        <v/>
      </c>
      <c r="Q22" s="43" t="n"/>
      <c r="R22" s="43" t="n"/>
      <c r="S22" s="129">
        <f>IF(AND(ISNUMBER(A22),COUNTIF('02_Lo_trinh'!$A$7:$A$11,B22)=1,C22="Hợp lệ",COUNT(E22:H22)=4,I22&gt;0,COUNTIF($A$7:$A$96,A22)=1),1,0)</f>
        <v/>
      </c>
    </row>
    <row r="23" ht="38" customHeight="1">
      <c r="A23" s="130" t="inlineStr">
        <is>
          <t>[Chưa chốt]</t>
        </is>
      </c>
      <c r="B23" s="43" t="n"/>
      <c r="C23" s="43" t="inlineStr">
        <is>
          <t>Chưa xác nhận</t>
        </is>
      </c>
      <c r="D23" s="128">
        <f>IF(B23="","",IFERROR(VLOOKUP(B23,'02_Lo_trinh'!$A$7:$N$11,6,FALSE),""))</f>
        <v/>
      </c>
      <c r="E23" s="132" t="n"/>
      <c r="F23" s="132" t="n"/>
      <c r="G23" s="132" t="n"/>
      <c r="H23" s="132" t="n"/>
      <c r="I23" s="128">
        <f>IF(COUNT(E23:H23)=0,"",SUM(E23:H23))</f>
        <v/>
      </c>
      <c r="J23" s="132" t="n"/>
      <c r="K23" s="128">
        <f>IF(OR(S23&lt;&gt;1,NOT(ISNUMBER(J23)),J23&lt;0,J23&gt;I23),"",IF(B23="G4",IF(ISNUMBER('01_Thiet_lap'!$D$24),MAX(0,'01_Thiet_lap'!$D$24-J23),""),MAX(0,'01_Thiet_lap'!$D$10-J23)))</f>
        <v/>
      </c>
      <c r="L23" s="128">
        <f>IF(AND(ISNUMBER(I23),ISNUMBER(D23)),D23-I23,"")</f>
        <v/>
      </c>
      <c r="M23" s="132" t="n"/>
      <c r="N23" s="128">
        <f>IF(AND(ISNUMBER(I23),ISNUMBER(M23)),I23+M23,"")</f>
        <v/>
      </c>
      <c r="O23" s="38">
        <f>IF(B23="","",IFERROR(VLOOKUP(B23,'02_Lo_trinh'!$A$7:$N$11,10,FALSE),"Cần chọn lại giai đoạn"))</f>
        <v/>
      </c>
      <c r="P23" s="38">
        <f>IF(COUNT(E23:H23,M23)=0,"",IF(NOT(ISNUMBER(A23)),"Cần cập nhật ngày",IF(COUNTIF('02_Lo_trinh'!$A$7:$A$11,B23)&lt;&gt;1,"Cần chọn giai đoạn",IF(COUNTIF($A$7:$A$96,A23)&gt;1,"Cần rà soát ngày trùng",IF(COUNT(E23:H23)&lt;4,"Cần nhập đủ 4 khoản chi",IF(MIN(E23:H23)&lt;0,"Cần rà soát khoản chi âm",IF(O23&lt;&gt;"Đã phê duyệt","Cần đối chiếu phê duyệt",IF(NOT(ISNUMBER(J23)),"Cần ghi phần dự phòng",IF(OR(J23&lt;0,J23&gt;I23),"Cần rà soát số tiền dự phòng",IF(AND(B23="G4",NOT(ISNUMBER('01_Thiet_lap'!$D$24))),"Cần chốt dự phòng cấp 2",IF(AND(B23&lt;&gt;"G4",J23&gt;'01_Thiet_lap'!$D$10),"Cần rà soát mức dự phòng",IF(AND(B23="G4",ISNUMBER('01_Thiet_lap'!$D$24),J23&gt;'01_Thiet_lap'!$D$24),"Cần rà soát dự phòng cấp 2",IF(AND(J23&gt;0,Q23=""),"Cần bổ sung lý do dùng dự phòng",IF(C23&lt;&gt;"Hợp lệ","Chi phát sinh ngoài ngày hợp lệ",IF(NOT(ISNUMBER(M23)),"Chờ xác nhận thuế/phí",IF(I23&gt;D23,"Cần rà soát mức chi trong ngày","Đã ghi nhận"))))))))))))))))</f>
        <v/>
      </c>
      <c r="Q23" s="43" t="n"/>
      <c r="R23" s="43" t="n"/>
      <c r="S23" s="129">
        <f>IF(AND(ISNUMBER(A23),COUNTIF('02_Lo_trinh'!$A$7:$A$11,B23)=1,C23="Hợp lệ",COUNT(E23:H23)=4,I23&gt;0,COUNTIF($A$7:$A$96,A23)=1),1,0)</f>
        <v/>
      </c>
    </row>
    <row r="24" ht="38" customHeight="1">
      <c r="A24" s="130" t="inlineStr">
        <is>
          <t>[Chưa chốt]</t>
        </is>
      </c>
      <c r="B24" s="43" t="n"/>
      <c r="C24" s="43" t="inlineStr">
        <is>
          <t>Chưa xác nhận</t>
        </is>
      </c>
      <c r="D24" s="128">
        <f>IF(B24="","",IFERROR(VLOOKUP(B24,'02_Lo_trinh'!$A$7:$N$11,6,FALSE),""))</f>
        <v/>
      </c>
      <c r="E24" s="132" t="n"/>
      <c r="F24" s="132" t="n"/>
      <c r="G24" s="132" t="n"/>
      <c r="H24" s="132" t="n"/>
      <c r="I24" s="128">
        <f>IF(COUNT(E24:H24)=0,"",SUM(E24:H24))</f>
        <v/>
      </c>
      <c r="J24" s="132" t="n"/>
      <c r="K24" s="128">
        <f>IF(OR(S24&lt;&gt;1,NOT(ISNUMBER(J24)),J24&lt;0,J24&gt;I24),"",IF(B24="G4",IF(ISNUMBER('01_Thiet_lap'!$D$24),MAX(0,'01_Thiet_lap'!$D$24-J24),""),MAX(0,'01_Thiet_lap'!$D$10-J24)))</f>
        <v/>
      </c>
      <c r="L24" s="128">
        <f>IF(AND(ISNUMBER(I24),ISNUMBER(D24)),D24-I24,"")</f>
        <v/>
      </c>
      <c r="M24" s="132" t="n"/>
      <c r="N24" s="128">
        <f>IF(AND(ISNUMBER(I24),ISNUMBER(M24)),I24+M24,"")</f>
        <v/>
      </c>
      <c r="O24" s="38">
        <f>IF(B24="","",IFERROR(VLOOKUP(B24,'02_Lo_trinh'!$A$7:$N$11,10,FALSE),"Cần chọn lại giai đoạn"))</f>
        <v/>
      </c>
      <c r="P24" s="38">
        <f>IF(COUNT(E24:H24,M24)=0,"",IF(NOT(ISNUMBER(A24)),"Cần cập nhật ngày",IF(COUNTIF('02_Lo_trinh'!$A$7:$A$11,B24)&lt;&gt;1,"Cần chọn giai đoạn",IF(COUNTIF($A$7:$A$96,A24)&gt;1,"Cần rà soát ngày trùng",IF(COUNT(E24:H24)&lt;4,"Cần nhập đủ 4 khoản chi",IF(MIN(E24:H24)&lt;0,"Cần rà soát khoản chi âm",IF(O24&lt;&gt;"Đã phê duyệt","Cần đối chiếu phê duyệt",IF(NOT(ISNUMBER(J24)),"Cần ghi phần dự phòng",IF(OR(J24&lt;0,J24&gt;I24),"Cần rà soát số tiền dự phòng",IF(AND(B24="G4",NOT(ISNUMBER('01_Thiet_lap'!$D$24))),"Cần chốt dự phòng cấp 2",IF(AND(B24&lt;&gt;"G4",J24&gt;'01_Thiet_lap'!$D$10),"Cần rà soát mức dự phòng",IF(AND(B24="G4",ISNUMBER('01_Thiet_lap'!$D$24),J24&gt;'01_Thiet_lap'!$D$24),"Cần rà soát dự phòng cấp 2",IF(AND(J24&gt;0,Q24=""),"Cần bổ sung lý do dùng dự phòng",IF(C24&lt;&gt;"Hợp lệ","Chi phát sinh ngoài ngày hợp lệ",IF(NOT(ISNUMBER(M24)),"Chờ xác nhận thuế/phí",IF(I24&gt;D24,"Cần rà soát mức chi trong ngày","Đã ghi nhận"))))))))))))))))</f>
        <v/>
      </c>
      <c r="Q24" s="43" t="n"/>
      <c r="R24" s="43" t="n"/>
      <c r="S24" s="129">
        <f>IF(AND(ISNUMBER(A24),COUNTIF('02_Lo_trinh'!$A$7:$A$11,B24)=1,C24="Hợp lệ",COUNT(E24:H24)=4,I24&gt;0,COUNTIF($A$7:$A$96,A24)=1),1,0)</f>
        <v/>
      </c>
    </row>
    <row r="25" ht="38" customHeight="1">
      <c r="A25" s="130" t="inlineStr">
        <is>
          <t>[Chưa chốt]</t>
        </is>
      </c>
      <c r="B25" s="43" t="n"/>
      <c r="C25" s="43" t="inlineStr">
        <is>
          <t>Chưa xác nhận</t>
        </is>
      </c>
      <c r="D25" s="128">
        <f>IF(B25="","",IFERROR(VLOOKUP(B25,'02_Lo_trinh'!$A$7:$N$11,6,FALSE),""))</f>
        <v/>
      </c>
      <c r="E25" s="132" t="n"/>
      <c r="F25" s="132" t="n"/>
      <c r="G25" s="132" t="n"/>
      <c r="H25" s="132" t="n"/>
      <c r="I25" s="128">
        <f>IF(COUNT(E25:H25)=0,"",SUM(E25:H25))</f>
        <v/>
      </c>
      <c r="J25" s="132" t="n"/>
      <c r="K25" s="128">
        <f>IF(OR(S25&lt;&gt;1,NOT(ISNUMBER(J25)),J25&lt;0,J25&gt;I25),"",IF(B25="G4",IF(ISNUMBER('01_Thiet_lap'!$D$24),MAX(0,'01_Thiet_lap'!$D$24-J25),""),MAX(0,'01_Thiet_lap'!$D$10-J25)))</f>
        <v/>
      </c>
      <c r="L25" s="128">
        <f>IF(AND(ISNUMBER(I25),ISNUMBER(D25)),D25-I25,"")</f>
        <v/>
      </c>
      <c r="M25" s="132" t="n"/>
      <c r="N25" s="128">
        <f>IF(AND(ISNUMBER(I25),ISNUMBER(M25)),I25+M25,"")</f>
        <v/>
      </c>
      <c r="O25" s="38">
        <f>IF(B25="","",IFERROR(VLOOKUP(B25,'02_Lo_trinh'!$A$7:$N$11,10,FALSE),"Cần chọn lại giai đoạn"))</f>
        <v/>
      </c>
      <c r="P25" s="38">
        <f>IF(COUNT(E25:H25,M25)=0,"",IF(NOT(ISNUMBER(A25)),"Cần cập nhật ngày",IF(COUNTIF('02_Lo_trinh'!$A$7:$A$11,B25)&lt;&gt;1,"Cần chọn giai đoạn",IF(COUNTIF($A$7:$A$96,A25)&gt;1,"Cần rà soát ngày trùng",IF(COUNT(E25:H25)&lt;4,"Cần nhập đủ 4 khoản chi",IF(MIN(E25:H25)&lt;0,"Cần rà soát khoản chi âm",IF(O25&lt;&gt;"Đã phê duyệt","Cần đối chiếu phê duyệt",IF(NOT(ISNUMBER(J25)),"Cần ghi phần dự phòng",IF(OR(J25&lt;0,J25&gt;I25),"Cần rà soát số tiền dự phòng",IF(AND(B25="G4",NOT(ISNUMBER('01_Thiet_lap'!$D$24))),"Cần chốt dự phòng cấp 2",IF(AND(B25&lt;&gt;"G4",J25&gt;'01_Thiet_lap'!$D$10),"Cần rà soát mức dự phòng",IF(AND(B25="G4",ISNUMBER('01_Thiet_lap'!$D$24),J25&gt;'01_Thiet_lap'!$D$24),"Cần rà soát dự phòng cấp 2",IF(AND(J25&gt;0,Q25=""),"Cần bổ sung lý do dùng dự phòng",IF(C25&lt;&gt;"Hợp lệ","Chi phát sinh ngoài ngày hợp lệ",IF(NOT(ISNUMBER(M25)),"Chờ xác nhận thuế/phí",IF(I25&gt;D25,"Cần rà soát mức chi trong ngày","Đã ghi nhận"))))))))))))))))</f>
        <v/>
      </c>
      <c r="Q25" s="43" t="n"/>
      <c r="R25" s="43" t="n"/>
      <c r="S25" s="129">
        <f>IF(AND(ISNUMBER(A25),COUNTIF('02_Lo_trinh'!$A$7:$A$11,B25)=1,C25="Hợp lệ",COUNT(E25:H25)=4,I25&gt;0,COUNTIF($A$7:$A$96,A25)=1),1,0)</f>
        <v/>
      </c>
    </row>
    <row r="26" ht="38" customHeight="1">
      <c r="A26" s="130" t="inlineStr">
        <is>
          <t>[Chưa chốt]</t>
        </is>
      </c>
      <c r="B26" s="43" t="n"/>
      <c r="C26" s="43" t="inlineStr">
        <is>
          <t>Chưa xác nhận</t>
        </is>
      </c>
      <c r="D26" s="128">
        <f>IF(B26="","",IFERROR(VLOOKUP(B26,'02_Lo_trinh'!$A$7:$N$11,6,FALSE),""))</f>
        <v/>
      </c>
      <c r="E26" s="132" t="n"/>
      <c r="F26" s="132" t="n"/>
      <c r="G26" s="132" t="n"/>
      <c r="H26" s="132" t="n"/>
      <c r="I26" s="128">
        <f>IF(COUNT(E26:H26)=0,"",SUM(E26:H26))</f>
        <v/>
      </c>
      <c r="J26" s="132" t="n"/>
      <c r="K26" s="128">
        <f>IF(OR(S26&lt;&gt;1,NOT(ISNUMBER(J26)),J26&lt;0,J26&gt;I26),"",IF(B26="G4",IF(ISNUMBER('01_Thiet_lap'!$D$24),MAX(0,'01_Thiet_lap'!$D$24-J26),""),MAX(0,'01_Thiet_lap'!$D$10-J26)))</f>
        <v/>
      </c>
      <c r="L26" s="128">
        <f>IF(AND(ISNUMBER(I26),ISNUMBER(D26)),D26-I26,"")</f>
        <v/>
      </c>
      <c r="M26" s="132" t="n"/>
      <c r="N26" s="128">
        <f>IF(AND(ISNUMBER(I26),ISNUMBER(M26)),I26+M26,"")</f>
        <v/>
      </c>
      <c r="O26" s="38">
        <f>IF(B26="","",IFERROR(VLOOKUP(B26,'02_Lo_trinh'!$A$7:$N$11,10,FALSE),"Cần chọn lại giai đoạn"))</f>
        <v/>
      </c>
      <c r="P26" s="38">
        <f>IF(COUNT(E26:H26,M26)=0,"",IF(NOT(ISNUMBER(A26)),"Cần cập nhật ngày",IF(COUNTIF('02_Lo_trinh'!$A$7:$A$11,B26)&lt;&gt;1,"Cần chọn giai đoạn",IF(COUNTIF($A$7:$A$96,A26)&gt;1,"Cần rà soát ngày trùng",IF(COUNT(E26:H26)&lt;4,"Cần nhập đủ 4 khoản chi",IF(MIN(E26:H26)&lt;0,"Cần rà soát khoản chi âm",IF(O26&lt;&gt;"Đã phê duyệt","Cần đối chiếu phê duyệt",IF(NOT(ISNUMBER(J26)),"Cần ghi phần dự phòng",IF(OR(J26&lt;0,J26&gt;I26),"Cần rà soát số tiền dự phòng",IF(AND(B26="G4",NOT(ISNUMBER('01_Thiet_lap'!$D$24))),"Cần chốt dự phòng cấp 2",IF(AND(B26&lt;&gt;"G4",J26&gt;'01_Thiet_lap'!$D$10),"Cần rà soát mức dự phòng",IF(AND(B26="G4",ISNUMBER('01_Thiet_lap'!$D$24),J26&gt;'01_Thiet_lap'!$D$24),"Cần rà soát dự phòng cấp 2",IF(AND(J26&gt;0,Q26=""),"Cần bổ sung lý do dùng dự phòng",IF(C26&lt;&gt;"Hợp lệ","Chi phát sinh ngoài ngày hợp lệ",IF(NOT(ISNUMBER(M26)),"Chờ xác nhận thuế/phí",IF(I26&gt;D26,"Cần rà soát mức chi trong ngày","Đã ghi nhận"))))))))))))))))</f>
        <v/>
      </c>
      <c r="Q26" s="43" t="n"/>
      <c r="R26" s="43" t="n"/>
      <c r="S26" s="129">
        <f>IF(AND(ISNUMBER(A26),COUNTIF('02_Lo_trinh'!$A$7:$A$11,B26)=1,C26="Hợp lệ",COUNT(E26:H26)=4,I26&gt;0,COUNTIF($A$7:$A$96,A26)=1),1,0)</f>
        <v/>
      </c>
    </row>
    <row r="27" ht="38" customHeight="1">
      <c r="A27" s="130" t="inlineStr">
        <is>
          <t>[Chưa chốt]</t>
        </is>
      </c>
      <c r="B27" s="43" t="n"/>
      <c r="C27" s="43" t="inlineStr">
        <is>
          <t>Chưa xác nhận</t>
        </is>
      </c>
      <c r="D27" s="128">
        <f>IF(B27="","",IFERROR(VLOOKUP(B27,'02_Lo_trinh'!$A$7:$N$11,6,FALSE),""))</f>
        <v/>
      </c>
      <c r="E27" s="132" t="n"/>
      <c r="F27" s="132" t="n"/>
      <c r="G27" s="132" t="n"/>
      <c r="H27" s="132" t="n"/>
      <c r="I27" s="128">
        <f>IF(COUNT(E27:H27)=0,"",SUM(E27:H27))</f>
        <v/>
      </c>
      <c r="J27" s="132" t="n"/>
      <c r="K27" s="128">
        <f>IF(OR(S27&lt;&gt;1,NOT(ISNUMBER(J27)),J27&lt;0,J27&gt;I27),"",IF(B27="G4",IF(ISNUMBER('01_Thiet_lap'!$D$24),MAX(0,'01_Thiet_lap'!$D$24-J27),""),MAX(0,'01_Thiet_lap'!$D$10-J27)))</f>
        <v/>
      </c>
      <c r="L27" s="128">
        <f>IF(AND(ISNUMBER(I27),ISNUMBER(D27)),D27-I27,"")</f>
        <v/>
      </c>
      <c r="M27" s="132" t="n"/>
      <c r="N27" s="128">
        <f>IF(AND(ISNUMBER(I27),ISNUMBER(M27)),I27+M27,"")</f>
        <v/>
      </c>
      <c r="O27" s="38">
        <f>IF(B27="","",IFERROR(VLOOKUP(B27,'02_Lo_trinh'!$A$7:$N$11,10,FALSE),"Cần chọn lại giai đoạn"))</f>
        <v/>
      </c>
      <c r="P27" s="38">
        <f>IF(COUNT(E27:H27,M27)=0,"",IF(NOT(ISNUMBER(A27)),"Cần cập nhật ngày",IF(COUNTIF('02_Lo_trinh'!$A$7:$A$11,B27)&lt;&gt;1,"Cần chọn giai đoạn",IF(COUNTIF($A$7:$A$96,A27)&gt;1,"Cần rà soát ngày trùng",IF(COUNT(E27:H27)&lt;4,"Cần nhập đủ 4 khoản chi",IF(MIN(E27:H27)&lt;0,"Cần rà soát khoản chi âm",IF(O27&lt;&gt;"Đã phê duyệt","Cần đối chiếu phê duyệt",IF(NOT(ISNUMBER(J27)),"Cần ghi phần dự phòng",IF(OR(J27&lt;0,J27&gt;I27),"Cần rà soát số tiền dự phòng",IF(AND(B27="G4",NOT(ISNUMBER('01_Thiet_lap'!$D$24))),"Cần chốt dự phòng cấp 2",IF(AND(B27&lt;&gt;"G4",J27&gt;'01_Thiet_lap'!$D$10),"Cần rà soát mức dự phòng",IF(AND(B27="G4",ISNUMBER('01_Thiet_lap'!$D$24),J27&gt;'01_Thiet_lap'!$D$24),"Cần rà soát dự phòng cấp 2",IF(AND(J27&gt;0,Q27=""),"Cần bổ sung lý do dùng dự phòng",IF(C27&lt;&gt;"Hợp lệ","Chi phát sinh ngoài ngày hợp lệ",IF(NOT(ISNUMBER(M27)),"Chờ xác nhận thuế/phí",IF(I27&gt;D27,"Cần rà soát mức chi trong ngày","Đã ghi nhận"))))))))))))))))</f>
        <v/>
      </c>
      <c r="Q27" s="43" t="n"/>
      <c r="R27" s="43" t="n"/>
      <c r="S27" s="129">
        <f>IF(AND(ISNUMBER(A27),COUNTIF('02_Lo_trinh'!$A$7:$A$11,B27)=1,C27="Hợp lệ",COUNT(E27:H27)=4,I27&gt;0,COUNTIF($A$7:$A$96,A27)=1),1,0)</f>
        <v/>
      </c>
    </row>
    <row r="28" ht="38" customHeight="1">
      <c r="A28" s="130" t="inlineStr">
        <is>
          <t>[Chưa chốt]</t>
        </is>
      </c>
      <c r="B28" s="43" t="n"/>
      <c r="C28" s="43" t="inlineStr">
        <is>
          <t>Chưa xác nhận</t>
        </is>
      </c>
      <c r="D28" s="128">
        <f>IF(B28="","",IFERROR(VLOOKUP(B28,'02_Lo_trinh'!$A$7:$N$11,6,FALSE),""))</f>
        <v/>
      </c>
      <c r="E28" s="132" t="n"/>
      <c r="F28" s="132" t="n"/>
      <c r="G28" s="132" t="n"/>
      <c r="H28" s="132" t="n"/>
      <c r="I28" s="128">
        <f>IF(COUNT(E28:H28)=0,"",SUM(E28:H28))</f>
        <v/>
      </c>
      <c r="J28" s="132" t="n"/>
      <c r="K28" s="128">
        <f>IF(OR(S28&lt;&gt;1,NOT(ISNUMBER(J28)),J28&lt;0,J28&gt;I28),"",IF(B28="G4",IF(ISNUMBER('01_Thiet_lap'!$D$24),MAX(0,'01_Thiet_lap'!$D$24-J28),""),MAX(0,'01_Thiet_lap'!$D$10-J28)))</f>
        <v/>
      </c>
      <c r="L28" s="128">
        <f>IF(AND(ISNUMBER(I28),ISNUMBER(D28)),D28-I28,"")</f>
        <v/>
      </c>
      <c r="M28" s="132" t="n"/>
      <c r="N28" s="128">
        <f>IF(AND(ISNUMBER(I28),ISNUMBER(M28)),I28+M28,"")</f>
        <v/>
      </c>
      <c r="O28" s="38">
        <f>IF(B28="","",IFERROR(VLOOKUP(B28,'02_Lo_trinh'!$A$7:$N$11,10,FALSE),"Cần chọn lại giai đoạn"))</f>
        <v/>
      </c>
      <c r="P28" s="38">
        <f>IF(COUNT(E28:H28,M28)=0,"",IF(NOT(ISNUMBER(A28)),"Cần cập nhật ngày",IF(COUNTIF('02_Lo_trinh'!$A$7:$A$11,B28)&lt;&gt;1,"Cần chọn giai đoạn",IF(COUNTIF($A$7:$A$96,A28)&gt;1,"Cần rà soát ngày trùng",IF(COUNT(E28:H28)&lt;4,"Cần nhập đủ 4 khoản chi",IF(MIN(E28:H28)&lt;0,"Cần rà soát khoản chi âm",IF(O28&lt;&gt;"Đã phê duyệt","Cần đối chiếu phê duyệt",IF(NOT(ISNUMBER(J28)),"Cần ghi phần dự phòng",IF(OR(J28&lt;0,J28&gt;I28),"Cần rà soát số tiền dự phòng",IF(AND(B28="G4",NOT(ISNUMBER('01_Thiet_lap'!$D$24))),"Cần chốt dự phòng cấp 2",IF(AND(B28&lt;&gt;"G4",J28&gt;'01_Thiet_lap'!$D$10),"Cần rà soát mức dự phòng",IF(AND(B28="G4",ISNUMBER('01_Thiet_lap'!$D$24),J28&gt;'01_Thiet_lap'!$D$24),"Cần rà soát dự phòng cấp 2",IF(AND(J28&gt;0,Q28=""),"Cần bổ sung lý do dùng dự phòng",IF(C28&lt;&gt;"Hợp lệ","Chi phát sinh ngoài ngày hợp lệ",IF(NOT(ISNUMBER(M28)),"Chờ xác nhận thuế/phí",IF(I28&gt;D28,"Cần rà soát mức chi trong ngày","Đã ghi nhận"))))))))))))))))</f>
        <v/>
      </c>
      <c r="Q28" s="43" t="n"/>
      <c r="R28" s="43" t="n"/>
      <c r="S28" s="129">
        <f>IF(AND(ISNUMBER(A28),COUNTIF('02_Lo_trinh'!$A$7:$A$11,B28)=1,C28="Hợp lệ",COUNT(E28:H28)=4,I28&gt;0,COUNTIF($A$7:$A$96,A28)=1),1,0)</f>
        <v/>
      </c>
    </row>
    <row r="29" ht="38" customHeight="1">
      <c r="A29" s="130" t="inlineStr">
        <is>
          <t>[Chưa chốt]</t>
        </is>
      </c>
      <c r="B29" s="43" t="n"/>
      <c r="C29" s="43" t="inlineStr">
        <is>
          <t>Chưa xác nhận</t>
        </is>
      </c>
      <c r="D29" s="128">
        <f>IF(B29="","",IFERROR(VLOOKUP(B29,'02_Lo_trinh'!$A$7:$N$11,6,FALSE),""))</f>
        <v/>
      </c>
      <c r="E29" s="132" t="n"/>
      <c r="F29" s="132" t="n"/>
      <c r="G29" s="132" t="n"/>
      <c r="H29" s="132" t="n"/>
      <c r="I29" s="128">
        <f>IF(COUNT(E29:H29)=0,"",SUM(E29:H29))</f>
        <v/>
      </c>
      <c r="J29" s="132" t="n"/>
      <c r="K29" s="128">
        <f>IF(OR(S29&lt;&gt;1,NOT(ISNUMBER(J29)),J29&lt;0,J29&gt;I29),"",IF(B29="G4",IF(ISNUMBER('01_Thiet_lap'!$D$24),MAX(0,'01_Thiet_lap'!$D$24-J29),""),MAX(0,'01_Thiet_lap'!$D$10-J29)))</f>
        <v/>
      </c>
      <c r="L29" s="128">
        <f>IF(AND(ISNUMBER(I29),ISNUMBER(D29)),D29-I29,"")</f>
        <v/>
      </c>
      <c r="M29" s="132" t="n"/>
      <c r="N29" s="128">
        <f>IF(AND(ISNUMBER(I29),ISNUMBER(M29)),I29+M29,"")</f>
        <v/>
      </c>
      <c r="O29" s="38">
        <f>IF(B29="","",IFERROR(VLOOKUP(B29,'02_Lo_trinh'!$A$7:$N$11,10,FALSE),"Cần chọn lại giai đoạn"))</f>
        <v/>
      </c>
      <c r="P29" s="38">
        <f>IF(COUNT(E29:H29,M29)=0,"",IF(NOT(ISNUMBER(A29)),"Cần cập nhật ngày",IF(COUNTIF('02_Lo_trinh'!$A$7:$A$11,B29)&lt;&gt;1,"Cần chọn giai đoạn",IF(COUNTIF($A$7:$A$96,A29)&gt;1,"Cần rà soát ngày trùng",IF(COUNT(E29:H29)&lt;4,"Cần nhập đủ 4 khoản chi",IF(MIN(E29:H29)&lt;0,"Cần rà soát khoản chi âm",IF(O29&lt;&gt;"Đã phê duyệt","Cần đối chiếu phê duyệt",IF(NOT(ISNUMBER(J29)),"Cần ghi phần dự phòng",IF(OR(J29&lt;0,J29&gt;I29),"Cần rà soát số tiền dự phòng",IF(AND(B29="G4",NOT(ISNUMBER('01_Thiet_lap'!$D$24))),"Cần chốt dự phòng cấp 2",IF(AND(B29&lt;&gt;"G4",J29&gt;'01_Thiet_lap'!$D$10),"Cần rà soát mức dự phòng",IF(AND(B29="G4",ISNUMBER('01_Thiet_lap'!$D$24),J29&gt;'01_Thiet_lap'!$D$24),"Cần rà soát dự phòng cấp 2",IF(AND(J29&gt;0,Q29=""),"Cần bổ sung lý do dùng dự phòng",IF(C29&lt;&gt;"Hợp lệ","Chi phát sinh ngoài ngày hợp lệ",IF(NOT(ISNUMBER(M29)),"Chờ xác nhận thuế/phí",IF(I29&gt;D29,"Cần rà soát mức chi trong ngày","Đã ghi nhận"))))))))))))))))</f>
        <v/>
      </c>
      <c r="Q29" s="43" t="n"/>
      <c r="R29" s="43" t="n"/>
      <c r="S29" s="129">
        <f>IF(AND(ISNUMBER(A29),COUNTIF('02_Lo_trinh'!$A$7:$A$11,B29)=1,C29="Hợp lệ",COUNT(E29:H29)=4,I29&gt;0,COUNTIF($A$7:$A$96,A29)=1),1,0)</f>
        <v/>
      </c>
    </row>
    <row r="30" ht="38" customHeight="1">
      <c r="A30" s="130" t="inlineStr">
        <is>
          <t>[Chưa chốt]</t>
        </is>
      </c>
      <c r="B30" s="43" t="n"/>
      <c r="C30" s="43" t="inlineStr">
        <is>
          <t>Chưa xác nhận</t>
        </is>
      </c>
      <c r="D30" s="128">
        <f>IF(B30="","",IFERROR(VLOOKUP(B30,'02_Lo_trinh'!$A$7:$N$11,6,FALSE),""))</f>
        <v/>
      </c>
      <c r="E30" s="132" t="n"/>
      <c r="F30" s="132" t="n"/>
      <c r="G30" s="132" t="n"/>
      <c r="H30" s="132" t="n"/>
      <c r="I30" s="128">
        <f>IF(COUNT(E30:H30)=0,"",SUM(E30:H30))</f>
        <v/>
      </c>
      <c r="J30" s="132" t="n"/>
      <c r="K30" s="128">
        <f>IF(OR(S30&lt;&gt;1,NOT(ISNUMBER(J30)),J30&lt;0,J30&gt;I30),"",IF(B30="G4",IF(ISNUMBER('01_Thiet_lap'!$D$24),MAX(0,'01_Thiet_lap'!$D$24-J30),""),MAX(0,'01_Thiet_lap'!$D$10-J30)))</f>
        <v/>
      </c>
      <c r="L30" s="128">
        <f>IF(AND(ISNUMBER(I30),ISNUMBER(D30)),D30-I30,"")</f>
        <v/>
      </c>
      <c r="M30" s="132" t="n"/>
      <c r="N30" s="128">
        <f>IF(AND(ISNUMBER(I30),ISNUMBER(M30)),I30+M30,"")</f>
        <v/>
      </c>
      <c r="O30" s="38">
        <f>IF(B30="","",IFERROR(VLOOKUP(B30,'02_Lo_trinh'!$A$7:$N$11,10,FALSE),"Cần chọn lại giai đoạn"))</f>
        <v/>
      </c>
      <c r="P30" s="38">
        <f>IF(COUNT(E30:H30,M30)=0,"",IF(NOT(ISNUMBER(A30)),"Cần cập nhật ngày",IF(COUNTIF('02_Lo_trinh'!$A$7:$A$11,B30)&lt;&gt;1,"Cần chọn giai đoạn",IF(COUNTIF($A$7:$A$96,A30)&gt;1,"Cần rà soát ngày trùng",IF(COUNT(E30:H30)&lt;4,"Cần nhập đủ 4 khoản chi",IF(MIN(E30:H30)&lt;0,"Cần rà soát khoản chi âm",IF(O30&lt;&gt;"Đã phê duyệt","Cần đối chiếu phê duyệt",IF(NOT(ISNUMBER(J30)),"Cần ghi phần dự phòng",IF(OR(J30&lt;0,J30&gt;I30),"Cần rà soát số tiền dự phòng",IF(AND(B30="G4",NOT(ISNUMBER('01_Thiet_lap'!$D$24))),"Cần chốt dự phòng cấp 2",IF(AND(B30&lt;&gt;"G4",J30&gt;'01_Thiet_lap'!$D$10),"Cần rà soát mức dự phòng",IF(AND(B30="G4",ISNUMBER('01_Thiet_lap'!$D$24),J30&gt;'01_Thiet_lap'!$D$24),"Cần rà soát dự phòng cấp 2",IF(AND(J30&gt;0,Q30=""),"Cần bổ sung lý do dùng dự phòng",IF(C30&lt;&gt;"Hợp lệ","Chi phát sinh ngoài ngày hợp lệ",IF(NOT(ISNUMBER(M30)),"Chờ xác nhận thuế/phí",IF(I30&gt;D30,"Cần rà soát mức chi trong ngày","Đã ghi nhận"))))))))))))))))</f>
        <v/>
      </c>
      <c r="Q30" s="43" t="n"/>
      <c r="R30" s="43" t="n"/>
      <c r="S30" s="129">
        <f>IF(AND(ISNUMBER(A30),COUNTIF('02_Lo_trinh'!$A$7:$A$11,B30)=1,C30="Hợp lệ",COUNT(E30:H30)=4,I30&gt;0,COUNTIF($A$7:$A$96,A30)=1),1,0)</f>
        <v/>
      </c>
    </row>
    <row r="31" ht="38" customHeight="1">
      <c r="A31" s="130" t="inlineStr">
        <is>
          <t>[Chưa chốt]</t>
        </is>
      </c>
      <c r="B31" s="43" t="n"/>
      <c r="C31" s="43" t="inlineStr">
        <is>
          <t>Chưa xác nhận</t>
        </is>
      </c>
      <c r="D31" s="128">
        <f>IF(B31="","",IFERROR(VLOOKUP(B31,'02_Lo_trinh'!$A$7:$N$11,6,FALSE),""))</f>
        <v/>
      </c>
      <c r="E31" s="132" t="n"/>
      <c r="F31" s="132" t="n"/>
      <c r="G31" s="132" t="n"/>
      <c r="H31" s="132" t="n"/>
      <c r="I31" s="128">
        <f>IF(COUNT(E31:H31)=0,"",SUM(E31:H31))</f>
        <v/>
      </c>
      <c r="J31" s="132" t="n"/>
      <c r="K31" s="128">
        <f>IF(OR(S31&lt;&gt;1,NOT(ISNUMBER(J31)),J31&lt;0,J31&gt;I31),"",IF(B31="G4",IF(ISNUMBER('01_Thiet_lap'!$D$24),MAX(0,'01_Thiet_lap'!$D$24-J31),""),MAX(0,'01_Thiet_lap'!$D$10-J31)))</f>
        <v/>
      </c>
      <c r="L31" s="128">
        <f>IF(AND(ISNUMBER(I31),ISNUMBER(D31)),D31-I31,"")</f>
        <v/>
      </c>
      <c r="M31" s="132" t="n"/>
      <c r="N31" s="128">
        <f>IF(AND(ISNUMBER(I31),ISNUMBER(M31)),I31+M31,"")</f>
        <v/>
      </c>
      <c r="O31" s="38">
        <f>IF(B31="","",IFERROR(VLOOKUP(B31,'02_Lo_trinh'!$A$7:$N$11,10,FALSE),"Cần chọn lại giai đoạn"))</f>
        <v/>
      </c>
      <c r="P31" s="38">
        <f>IF(COUNT(E31:H31,M31)=0,"",IF(NOT(ISNUMBER(A31)),"Cần cập nhật ngày",IF(COUNTIF('02_Lo_trinh'!$A$7:$A$11,B31)&lt;&gt;1,"Cần chọn giai đoạn",IF(COUNTIF($A$7:$A$96,A31)&gt;1,"Cần rà soát ngày trùng",IF(COUNT(E31:H31)&lt;4,"Cần nhập đủ 4 khoản chi",IF(MIN(E31:H31)&lt;0,"Cần rà soát khoản chi âm",IF(O31&lt;&gt;"Đã phê duyệt","Cần đối chiếu phê duyệt",IF(NOT(ISNUMBER(J31)),"Cần ghi phần dự phòng",IF(OR(J31&lt;0,J31&gt;I31),"Cần rà soát số tiền dự phòng",IF(AND(B31="G4",NOT(ISNUMBER('01_Thiet_lap'!$D$24))),"Cần chốt dự phòng cấp 2",IF(AND(B31&lt;&gt;"G4",J31&gt;'01_Thiet_lap'!$D$10),"Cần rà soát mức dự phòng",IF(AND(B31="G4",ISNUMBER('01_Thiet_lap'!$D$24),J31&gt;'01_Thiet_lap'!$D$24),"Cần rà soát dự phòng cấp 2",IF(AND(J31&gt;0,Q31=""),"Cần bổ sung lý do dùng dự phòng",IF(C31&lt;&gt;"Hợp lệ","Chi phát sinh ngoài ngày hợp lệ",IF(NOT(ISNUMBER(M31)),"Chờ xác nhận thuế/phí",IF(I31&gt;D31,"Cần rà soát mức chi trong ngày","Đã ghi nhận"))))))))))))))))</f>
        <v/>
      </c>
      <c r="Q31" s="43" t="n"/>
      <c r="R31" s="43" t="n"/>
      <c r="S31" s="129">
        <f>IF(AND(ISNUMBER(A31),COUNTIF('02_Lo_trinh'!$A$7:$A$11,B31)=1,C31="Hợp lệ",COUNT(E31:H31)=4,I31&gt;0,COUNTIF($A$7:$A$96,A31)=1),1,0)</f>
        <v/>
      </c>
    </row>
    <row r="32" ht="38" customHeight="1">
      <c r="A32" s="130" t="inlineStr">
        <is>
          <t>[Chưa chốt]</t>
        </is>
      </c>
      <c r="B32" s="43" t="n"/>
      <c r="C32" s="43" t="inlineStr">
        <is>
          <t>Chưa xác nhận</t>
        </is>
      </c>
      <c r="D32" s="128">
        <f>IF(B32="","",IFERROR(VLOOKUP(B32,'02_Lo_trinh'!$A$7:$N$11,6,FALSE),""))</f>
        <v/>
      </c>
      <c r="E32" s="132" t="n"/>
      <c r="F32" s="132" t="n"/>
      <c r="G32" s="132" t="n"/>
      <c r="H32" s="132" t="n"/>
      <c r="I32" s="128">
        <f>IF(COUNT(E32:H32)=0,"",SUM(E32:H32))</f>
        <v/>
      </c>
      <c r="J32" s="132" t="n"/>
      <c r="K32" s="128">
        <f>IF(OR(S32&lt;&gt;1,NOT(ISNUMBER(J32)),J32&lt;0,J32&gt;I32),"",IF(B32="G4",IF(ISNUMBER('01_Thiet_lap'!$D$24),MAX(0,'01_Thiet_lap'!$D$24-J32),""),MAX(0,'01_Thiet_lap'!$D$10-J32)))</f>
        <v/>
      </c>
      <c r="L32" s="128">
        <f>IF(AND(ISNUMBER(I32),ISNUMBER(D32)),D32-I32,"")</f>
        <v/>
      </c>
      <c r="M32" s="132" t="n"/>
      <c r="N32" s="128">
        <f>IF(AND(ISNUMBER(I32),ISNUMBER(M32)),I32+M32,"")</f>
        <v/>
      </c>
      <c r="O32" s="38">
        <f>IF(B32="","",IFERROR(VLOOKUP(B32,'02_Lo_trinh'!$A$7:$N$11,10,FALSE),"Cần chọn lại giai đoạn"))</f>
        <v/>
      </c>
      <c r="P32" s="38">
        <f>IF(COUNT(E32:H32,M32)=0,"",IF(NOT(ISNUMBER(A32)),"Cần cập nhật ngày",IF(COUNTIF('02_Lo_trinh'!$A$7:$A$11,B32)&lt;&gt;1,"Cần chọn giai đoạn",IF(COUNTIF($A$7:$A$96,A32)&gt;1,"Cần rà soát ngày trùng",IF(COUNT(E32:H32)&lt;4,"Cần nhập đủ 4 khoản chi",IF(MIN(E32:H32)&lt;0,"Cần rà soát khoản chi âm",IF(O32&lt;&gt;"Đã phê duyệt","Cần đối chiếu phê duyệt",IF(NOT(ISNUMBER(J32)),"Cần ghi phần dự phòng",IF(OR(J32&lt;0,J32&gt;I32),"Cần rà soát số tiền dự phòng",IF(AND(B32="G4",NOT(ISNUMBER('01_Thiet_lap'!$D$24))),"Cần chốt dự phòng cấp 2",IF(AND(B32&lt;&gt;"G4",J32&gt;'01_Thiet_lap'!$D$10),"Cần rà soát mức dự phòng",IF(AND(B32="G4",ISNUMBER('01_Thiet_lap'!$D$24),J32&gt;'01_Thiet_lap'!$D$24),"Cần rà soát dự phòng cấp 2",IF(AND(J32&gt;0,Q32=""),"Cần bổ sung lý do dùng dự phòng",IF(C32&lt;&gt;"Hợp lệ","Chi phát sinh ngoài ngày hợp lệ",IF(NOT(ISNUMBER(M32)),"Chờ xác nhận thuế/phí",IF(I32&gt;D32,"Cần rà soát mức chi trong ngày","Đã ghi nhận"))))))))))))))))</f>
        <v/>
      </c>
      <c r="Q32" s="43" t="n"/>
      <c r="R32" s="43" t="n"/>
      <c r="S32" s="129">
        <f>IF(AND(ISNUMBER(A32),COUNTIF('02_Lo_trinh'!$A$7:$A$11,B32)=1,C32="Hợp lệ",COUNT(E32:H32)=4,I32&gt;0,COUNTIF($A$7:$A$96,A32)=1),1,0)</f>
        <v/>
      </c>
    </row>
    <row r="33" ht="38" customHeight="1">
      <c r="A33" s="130" t="inlineStr">
        <is>
          <t>[Chưa chốt]</t>
        </is>
      </c>
      <c r="B33" s="43" t="n"/>
      <c r="C33" s="43" t="inlineStr">
        <is>
          <t>Chưa xác nhận</t>
        </is>
      </c>
      <c r="D33" s="128">
        <f>IF(B33="","",IFERROR(VLOOKUP(B33,'02_Lo_trinh'!$A$7:$N$11,6,FALSE),""))</f>
        <v/>
      </c>
      <c r="E33" s="132" t="n"/>
      <c r="F33" s="132" t="n"/>
      <c r="G33" s="132" t="n"/>
      <c r="H33" s="132" t="n"/>
      <c r="I33" s="128">
        <f>IF(COUNT(E33:H33)=0,"",SUM(E33:H33))</f>
        <v/>
      </c>
      <c r="J33" s="132" t="n"/>
      <c r="K33" s="128">
        <f>IF(OR(S33&lt;&gt;1,NOT(ISNUMBER(J33)),J33&lt;0,J33&gt;I33),"",IF(B33="G4",IF(ISNUMBER('01_Thiet_lap'!$D$24),MAX(0,'01_Thiet_lap'!$D$24-J33),""),MAX(0,'01_Thiet_lap'!$D$10-J33)))</f>
        <v/>
      </c>
      <c r="L33" s="128">
        <f>IF(AND(ISNUMBER(I33),ISNUMBER(D33)),D33-I33,"")</f>
        <v/>
      </c>
      <c r="M33" s="132" t="n"/>
      <c r="N33" s="128">
        <f>IF(AND(ISNUMBER(I33),ISNUMBER(M33)),I33+M33,"")</f>
        <v/>
      </c>
      <c r="O33" s="38">
        <f>IF(B33="","",IFERROR(VLOOKUP(B33,'02_Lo_trinh'!$A$7:$N$11,10,FALSE),"Cần chọn lại giai đoạn"))</f>
        <v/>
      </c>
      <c r="P33" s="38">
        <f>IF(COUNT(E33:H33,M33)=0,"",IF(NOT(ISNUMBER(A33)),"Cần cập nhật ngày",IF(COUNTIF('02_Lo_trinh'!$A$7:$A$11,B33)&lt;&gt;1,"Cần chọn giai đoạn",IF(COUNTIF($A$7:$A$96,A33)&gt;1,"Cần rà soát ngày trùng",IF(COUNT(E33:H33)&lt;4,"Cần nhập đủ 4 khoản chi",IF(MIN(E33:H33)&lt;0,"Cần rà soát khoản chi âm",IF(O33&lt;&gt;"Đã phê duyệt","Cần đối chiếu phê duyệt",IF(NOT(ISNUMBER(J33)),"Cần ghi phần dự phòng",IF(OR(J33&lt;0,J33&gt;I33),"Cần rà soát số tiền dự phòng",IF(AND(B33="G4",NOT(ISNUMBER('01_Thiet_lap'!$D$24))),"Cần chốt dự phòng cấp 2",IF(AND(B33&lt;&gt;"G4",J33&gt;'01_Thiet_lap'!$D$10),"Cần rà soát mức dự phòng",IF(AND(B33="G4",ISNUMBER('01_Thiet_lap'!$D$24),J33&gt;'01_Thiet_lap'!$D$24),"Cần rà soát dự phòng cấp 2",IF(AND(J33&gt;0,Q33=""),"Cần bổ sung lý do dùng dự phòng",IF(C33&lt;&gt;"Hợp lệ","Chi phát sinh ngoài ngày hợp lệ",IF(NOT(ISNUMBER(M33)),"Chờ xác nhận thuế/phí",IF(I33&gt;D33,"Cần rà soát mức chi trong ngày","Đã ghi nhận"))))))))))))))))</f>
        <v/>
      </c>
      <c r="Q33" s="43" t="n"/>
      <c r="R33" s="43" t="n"/>
      <c r="S33" s="129">
        <f>IF(AND(ISNUMBER(A33),COUNTIF('02_Lo_trinh'!$A$7:$A$11,B33)=1,C33="Hợp lệ",COUNT(E33:H33)=4,I33&gt;0,COUNTIF($A$7:$A$96,A33)=1),1,0)</f>
        <v/>
      </c>
    </row>
    <row r="34" ht="38" customHeight="1">
      <c r="A34" s="130" t="inlineStr">
        <is>
          <t>[Chưa chốt]</t>
        </is>
      </c>
      <c r="B34" s="43" t="n"/>
      <c r="C34" s="43" t="inlineStr">
        <is>
          <t>Chưa xác nhận</t>
        </is>
      </c>
      <c r="D34" s="128">
        <f>IF(B34="","",IFERROR(VLOOKUP(B34,'02_Lo_trinh'!$A$7:$N$11,6,FALSE),""))</f>
        <v/>
      </c>
      <c r="E34" s="132" t="n"/>
      <c r="F34" s="132" t="n"/>
      <c r="G34" s="132" t="n"/>
      <c r="H34" s="132" t="n"/>
      <c r="I34" s="128">
        <f>IF(COUNT(E34:H34)=0,"",SUM(E34:H34))</f>
        <v/>
      </c>
      <c r="J34" s="132" t="n"/>
      <c r="K34" s="128">
        <f>IF(OR(S34&lt;&gt;1,NOT(ISNUMBER(J34)),J34&lt;0,J34&gt;I34),"",IF(B34="G4",IF(ISNUMBER('01_Thiet_lap'!$D$24),MAX(0,'01_Thiet_lap'!$D$24-J34),""),MAX(0,'01_Thiet_lap'!$D$10-J34)))</f>
        <v/>
      </c>
      <c r="L34" s="128">
        <f>IF(AND(ISNUMBER(I34),ISNUMBER(D34)),D34-I34,"")</f>
        <v/>
      </c>
      <c r="M34" s="132" t="n"/>
      <c r="N34" s="128">
        <f>IF(AND(ISNUMBER(I34),ISNUMBER(M34)),I34+M34,"")</f>
        <v/>
      </c>
      <c r="O34" s="38">
        <f>IF(B34="","",IFERROR(VLOOKUP(B34,'02_Lo_trinh'!$A$7:$N$11,10,FALSE),"Cần chọn lại giai đoạn"))</f>
        <v/>
      </c>
      <c r="P34" s="38">
        <f>IF(COUNT(E34:H34,M34)=0,"",IF(NOT(ISNUMBER(A34)),"Cần cập nhật ngày",IF(COUNTIF('02_Lo_trinh'!$A$7:$A$11,B34)&lt;&gt;1,"Cần chọn giai đoạn",IF(COUNTIF($A$7:$A$96,A34)&gt;1,"Cần rà soát ngày trùng",IF(COUNT(E34:H34)&lt;4,"Cần nhập đủ 4 khoản chi",IF(MIN(E34:H34)&lt;0,"Cần rà soát khoản chi âm",IF(O34&lt;&gt;"Đã phê duyệt","Cần đối chiếu phê duyệt",IF(NOT(ISNUMBER(J34)),"Cần ghi phần dự phòng",IF(OR(J34&lt;0,J34&gt;I34),"Cần rà soát số tiền dự phòng",IF(AND(B34="G4",NOT(ISNUMBER('01_Thiet_lap'!$D$24))),"Cần chốt dự phòng cấp 2",IF(AND(B34&lt;&gt;"G4",J34&gt;'01_Thiet_lap'!$D$10),"Cần rà soát mức dự phòng",IF(AND(B34="G4",ISNUMBER('01_Thiet_lap'!$D$24),J34&gt;'01_Thiet_lap'!$D$24),"Cần rà soát dự phòng cấp 2",IF(AND(J34&gt;0,Q34=""),"Cần bổ sung lý do dùng dự phòng",IF(C34&lt;&gt;"Hợp lệ","Chi phát sinh ngoài ngày hợp lệ",IF(NOT(ISNUMBER(M34)),"Chờ xác nhận thuế/phí",IF(I34&gt;D34,"Cần rà soát mức chi trong ngày","Đã ghi nhận"))))))))))))))))</f>
        <v/>
      </c>
      <c r="Q34" s="43" t="n"/>
      <c r="R34" s="43" t="n"/>
      <c r="S34" s="129">
        <f>IF(AND(ISNUMBER(A34),COUNTIF('02_Lo_trinh'!$A$7:$A$11,B34)=1,C34="Hợp lệ",COUNT(E34:H34)=4,I34&gt;0,COUNTIF($A$7:$A$96,A34)=1),1,0)</f>
        <v/>
      </c>
    </row>
    <row r="35" ht="38" customHeight="1">
      <c r="A35" s="130" t="inlineStr">
        <is>
          <t>[Chưa chốt]</t>
        </is>
      </c>
      <c r="B35" s="43" t="n"/>
      <c r="C35" s="43" t="inlineStr">
        <is>
          <t>Chưa xác nhận</t>
        </is>
      </c>
      <c r="D35" s="128">
        <f>IF(B35="","",IFERROR(VLOOKUP(B35,'02_Lo_trinh'!$A$7:$N$11,6,FALSE),""))</f>
        <v/>
      </c>
      <c r="E35" s="132" t="n"/>
      <c r="F35" s="132" t="n"/>
      <c r="G35" s="132" t="n"/>
      <c r="H35" s="132" t="n"/>
      <c r="I35" s="128">
        <f>IF(COUNT(E35:H35)=0,"",SUM(E35:H35))</f>
        <v/>
      </c>
      <c r="J35" s="132" t="n"/>
      <c r="K35" s="128">
        <f>IF(OR(S35&lt;&gt;1,NOT(ISNUMBER(J35)),J35&lt;0,J35&gt;I35),"",IF(B35="G4",IF(ISNUMBER('01_Thiet_lap'!$D$24),MAX(0,'01_Thiet_lap'!$D$24-J35),""),MAX(0,'01_Thiet_lap'!$D$10-J35)))</f>
        <v/>
      </c>
      <c r="L35" s="128">
        <f>IF(AND(ISNUMBER(I35),ISNUMBER(D35)),D35-I35,"")</f>
        <v/>
      </c>
      <c r="M35" s="132" t="n"/>
      <c r="N35" s="128">
        <f>IF(AND(ISNUMBER(I35),ISNUMBER(M35)),I35+M35,"")</f>
        <v/>
      </c>
      <c r="O35" s="38">
        <f>IF(B35="","",IFERROR(VLOOKUP(B35,'02_Lo_trinh'!$A$7:$N$11,10,FALSE),"Cần chọn lại giai đoạn"))</f>
        <v/>
      </c>
      <c r="P35" s="38">
        <f>IF(COUNT(E35:H35,M35)=0,"",IF(NOT(ISNUMBER(A35)),"Cần cập nhật ngày",IF(COUNTIF('02_Lo_trinh'!$A$7:$A$11,B35)&lt;&gt;1,"Cần chọn giai đoạn",IF(COUNTIF($A$7:$A$96,A35)&gt;1,"Cần rà soát ngày trùng",IF(COUNT(E35:H35)&lt;4,"Cần nhập đủ 4 khoản chi",IF(MIN(E35:H35)&lt;0,"Cần rà soát khoản chi âm",IF(O35&lt;&gt;"Đã phê duyệt","Cần đối chiếu phê duyệt",IF(NOT(ISNUMBER(J35)),"Cần ghi phần dự phòng",IF(OR(J35&lt;0,J35&gt;I35),"Cần rà soát số tiền dự phòng",IF(AND(B35="G4",NOT(ISNUMBER('01_Thiet_lap'!$D$24))),"Cần chốt dự phòng cấp 2",IF(AND(B35&lt;&gt;"G4",J35&gt;'01_Thiet_lap'!$D$10),"Cần rà soát mức dự phòng",IF(AND(B35="G4",ISNUMBER('01_Thiet_lap'!$D$24),J35&gt;'01_Thiet_lap'!$D$24),"Cần rà soát dự phòng cấp 2",IF(AND(J35&gt;0,Q35=""),"Cần bổ sung lý do dùng dự phòng",IF(C35&lt;&gt;"Hợp lệ","Chi phát sinh ngoài ngày hợp lệ",IF(NOT(ISNUMBER(M35)),"Chờ xác nhận thuế/phí",IF(I35&gt;D35,"Cần rà soát mức chi trong ngày","Đã ghi nhận"))))))))))))))))</f>
        <v/>
      </c>
      <c r="Q35" s="43" t="n"/>
      <c r="R35" s="43" t="n"/>
      <c r="S35" s="129">
        <f>IF(AND(ISNUMBER(A35),COUNTIF('02_Lo_trinh'!$A$7:$A$11,B35)=1,C35="Hợp lệ",COUNT(E35:H35)=4,I35&gt;0,COUNTIF($A$7:$A$96,A35)=1),1,0)</f>
        <v/>
      </c>
    </row>
    <row r="36" ht="38" customHeight="1">
      <c r="A36" s="130" t="inlineStr">
        <is>
          <t>[Chưa chốt]</t>
        </is>
      </c>
      <c r="B36" s="43" t="n"/>
      <c r="C36" s="43" t="inlineStr">
        <is>
          <t>Chưa xác nhận</t>
        </is>
      </c>
      <c r="D36" s="128">
        <f>IF(B36="","",IFERROR(VLOOKUP(B36,'02_Lo_trinh'!$A$7:$N$11,6,FALSE),""))</f>
        <v/>
      </c>
      <c r="E36" s="132" t="n"/>
      <c r="F36" s="132" t="n"/>
      <c r="G36" s="132" t="n"/>
      <c r="H36" s="132" t="n"/>
      <c r="I36" s="128">
        <f>IF(COUNT(E36:H36)=0,"",SUM(E36:H36))</f>
        <v/>
      </c>
      <c r="J36" s="132" t="n"/>
      <c r="K36" s="128">
        <f>IF(OR(S36&lt;&gt;1,NOT(ISNUMBER(J36)),J36&lt;0,J36&gt;I36),"",IF(B36="G4",IF(ISNUMBER('01_Thiet_lap'!$D$24),MAX(0,'01_Thiet_lap'!$D$24-J36),""),MAX(0,'01_Thiet_lap'!$D$10-J36)))</f>
        <v/>
      </c>
      <c r="L36" s="128">
        <f>IF(AND(ISNUMBER(I36),ISNUMBER(D36)),D36-I36,"")</f>
        <v/>
      </c>
      <c r="M36" s="132" t="n"/>
      <c r="N36" s="128">
        <f>IF(AND(ISNUMBER(I36),ISNUMBER(M36)),I36+M36,"")</f>
        <v/>
      </c>
      <c r="O36" s="38">
        <f>IF(B36="","",IFERROR(VLOOKUP(B36,'02_Lo_trinh'!$A$7:$N$11,10,FALSE),"Cần chọn lại giai đoạn"))</f>
        <v/>
      </c>
      <c r="P36" s="38">
        <f>IF(COUNT(E36:H36,M36)=0,"",IF(NOT(ISNUMBER(A36)),"Cần cập nhật ngày",IF(COUNTIF('02_Lo_trinh'!$A$7:$A$11,B36)&lt;&gt;1,"Cần chọn giai đoạn",IF(COUNTIF($A$7:$A$96,A36)&gt;1,"Cần rà soát ngày trùng",IF(COUNT(E36:H36)&lt;4,"Cần nhập đủ 4 khoản chi",IF(MIN(E36:H36)&lt;0,"Cần rà soát khoản chi âm",IF(O36&lt;&gt;"Đã phê duyệt","Cần đối chiếu phê duyệt",IF(NOT(ISNUMBER(J36)),"Cần ghi phần dự phòng",IF(OR(J36&lt;0,J36&gt;I36),"Cần rà soát số tiền dự phòng",IF(AND(B36="G4",NOT(ISNUMBER('01_Thiet_lap'!$D$24))),"Cần chốt dự phòng cấp 2",IF(AND(B36&lt;&gt;"G4",J36&gt;'01_Thiet_lap'!$D$10),"Cần rà soát mức dự phòng",IF(AND(B36="G4",ISNUMBER('01_Thiet_lap'!$D$24),J36&gt;'01_Thiet_lap'!$D$24),"Cần rà soát dự phòng cấp 2",IF(AND(J36&gt;0,Q36=""),"Cần bổ sung lý do dùng dự phòng",IF(C36&lt;&gt;"Hợp lệ","Chi phát sinh ngoài ngày hợp lệ",IF(NOT(ISNUMBER(M36)),"Chờ xác nhận thuế/phí",IF(I36&gt;D36,"Cần rà soát mức chi trong ngày","Đã ghi nhận"))))))))))))))))</f>
        <v/>
      </c>
      <c r="Q36" s="43" t="n"/>
      <c r="R36" s="43" t="n"/>
      <c r="S36" s="129">
        <f>IF(AND(ISNUMBER(A36),COUNTIF('02_Lo_trinh'!$A$7:$A$11,B36)=1,C36="Hợp lệ",COUNT(E36:H36)=4,I36&gt;0,COUNTIF($A$7:$A$96,A36)=1),1,0)</f>
        <v/>
      </c>
    </row>
    <row r="37" ht="38" customHeight="1">
      <c r="A37" s="130" t="inlineStr">
        <is>
          <t>[Chưa chốt]</t>
        </is>
      </c>
      <c r="B37" s="43" t="n"/>
      <c r="C37" s="43" t="inlineStr">
        <is>
          <t>Chưa xác nhận</t>
        </is>
      </c>
      <c r="D37" s="128">
        <f>IF(B37="","",IFERROR(VLOOKUP(B37,'02_Lo_trinh'!$A$7:$N$11,6,FALSE),""))</f>
        <v/>
      </c>
      <c r="E37" s="132" t="n"/>
      <c r="F37" s="132" t="n"/>
      <c r="G37" s="132" t="n"/>
      <c r="H37" s="132" t="n"/>
      <c r="I37" s="128">
        <f>IF(COUNT(E37:H37)=0,"",SUM(E37:H37))</f>
        <v/>
      </c>
      <c r="J37" s="132" t="n"/>
      <c r="K37" s="128">
        <f>IF(OR(S37&lt;&gt;1,NOT(ISNUMBER(J37)),J37&lt;0,J37&gt;I37),"",IF(B37="G4",IF(ISNUMBER('01_Thiet_lap'!$D$24),MAX(0,'01_Thiet_lap'!$D$24-J37),""),MAX(0,'01_Thiet_lap'!$D$10-J37)))</f>
        <v/>
      </c>
      <c r="L37" s="128">
        <f>IF(AND(ISNUMBER(I37),ISNUMBER(D37)),D37-I37,"")</f>
        <v/>
      </c>
      <c r="M37" s="132" t="n"/>
      <c r="N37" s="128">
        <f>IF(AND(ISNUMBER(I37),ISNUMBER(M37)),I37+M37,"")</f>
        <v/>
      </c>
      <c r="O37" s="38">
        <f>IF(B37="","",IFERROR(VLOOKUP(B37,'02_Lo_trinh'!$A$7:$N$11,10,FALSE),"Cần chọn lại giai đoạn"))</f>
        <v/>
      </c>
      <c r="P37" s="38">
        <f>IF(COUNT(E37:H37,M37)=0,"",IF(NOT(ISNUMBER(A37)),"Cần cập nhật ngày",IF(COUNTIF('02_Lo_trinh'!$A$7:$A$11,B37)&lt;&gt;1,"Cần chọn giai đoạn",IF(COUNTIF($A$7:$A$96,A37)&gt;1,"Cần rà soát ngày trùng",IF(COUNT(E37:H37)&lt;4,"Cần nhập đủ 4 khoản chi",IF(MIN(E37:H37)&lt;0,"Cần rà soát khoản chi âm",IF(O37&lt;&gt;"Đã phê duyệt","Cần đối chiếu phê duyệt",IF(NOT(ISNUMBER(J37)),"Cần ghi phần dự phòng",IF(OR(J37&lt;0,J37&gt;I37),"Cần rà soát số tiền dự phòng",IF(AND(B37="G4",NOT(ISNUMBER('01_Thiet_lap'!$D$24))),"Cần chốt dự phòng cấp 2",IF(AND(B37&lt;&gt;"G4",J37&gt;'01_Thiet_lap'!$D$10),"Cần rà soát mức dự phòng",IF(AND(B37="G4",ISNUMBER('01_Thiet_lap'!$D$24),J37&gt;'01_Thiet_lap'!$D$24),"Cần rà soát dự phòng cấp 2",IF(AND(J37&gt;0,Q37=""),"Cần bổ sung lý do dùng dự phòng",IF(C37&lt;&gt;"Hợp lệ","Chi phát sinh ngoài ngày hợp lệ",IF(NOT(ISNUMBER(M37)),"Chờ xác nhận thuế/phí",IF(I37&gt;D37,"Cần rà soát mức chi trong ngày","Đã ghi nhận"))))))))))))))))</f>
        <v/>
      </c>
      <c r="Q37" s="43" t="n"/>
      <c r="R37" s="43" t="n"/>
      <c r="S37" s="129">
        <f>IF(AND(ISNUMBER(A37),COUNTIF('02_Lo_trinh'!$A$7:$A$11,B37)=1,C37="Hợp lệ",COUNT(E37:H37)=4,I37&gt;0,COUNTIF($A$7:$A$96,A37)=1),1,0)</f>
        <v/>
      </c>
    </row>
    <row r="38" ht="38" customHeight="1">
      <c r="A38" s="130" t="inlineStr">
        <is>
          <t>[Chưa chốt]</t>
        </is>
      </c>
      <c r="B38" s="43" t="n"/>
      <c r="C38" s="43" t="inlineStr">
        <is>
          <t>Chưa xác nhận</t>
        </is>
      </c>
      <c r="D38" s="128">
        <f>IF(B38="","",IFERROR(VLOOKUP(B38,'02_Lo_trinh'!$A$7:$N$11,6,FALSE),""))</f>
        <v/>
      </c>
      <c r="E38" s="132" t="n"/>
      <c r="F38" s="132" t="n"/>
      <c r="G38" s="132" t="n"/>
      <c r="H38" s="132" t="n"/>
      <c r="I38" s="128">
        <f>IF(COUNT(E38:H38)=0,"",SUM(E38:H38))</f>
        <v/>
      </c>
      <c r="J38" s="132" t="n"/>
      <c r="K38" s="128">
        <f>IF(OR(S38&lt;&gt;1,NOT(ISNUMBER(J38)),J38&lt;0,J38&gt;I38),"",IF(B38="G4",IF(ISNUMBER('01_Thiet_lap'!$D$24),MAX(0,'01_Thiet_lap'!$D$24-J38),""),MAX(0,'01_Thiet_lap'!$D$10-J38)))</f>
        <v/>
      </c>
      <c r="L38" s="128">
        <f>IF(AND(ISNUMBER(I38),ISNUMBER(D38)),D38-I38,"")</f>
        <v/>
      </c>
      <c r="M38" s="132" t="n"/>
      <c r="N38" s="128">
        <f>IF(AND(ISNUMBER(I38),ISNUMBER(M38)),I38+M38,"")</f>
        <v/>
      </c>
      <c r="O38" s="38">
        <f>IF(B38="","",IFERROR(VLOOKUP(B38,'02_Lo_trinh'!$A$7:$N$11,10,FALSE),"Cần chọn lại giai đoạn"))</f>
        <v/>
      </c>
      <c r="P38" s="38">
        <f>IF(COUNT(E38:H38,M38)=0,"",IF(NOT(ISNUMBER(A38)),"Cần cập nhật ngày",IF(COUNTIF('02_Lo_trinh'!$A$7:$A$11,B38)&lt;&gt;1,"Cần chọn giai đoạn",IF(COUNTIF($A$7:$A$96,A38)&gt;1,"Cần rà soát ngày trùng",IF(COUNT(E38:H38)&lt;4,"Cần nhập đủ 4 khoản chi",IF(MIN(E38:H38)&lt;0,"Cần rà soát khoản chi âm",IF(O38&lt;&gt;"Đã phê duyệt","Cần đối chiếu phê duyệt",IF(NOT(ISNUMBER(J38)),"Cần ghi phần dự phòng",IF(OR(J38&lt;0,J38&gt;I38),"Cần rà soát số tiền dự phòng",IF(AND(B38="G4",NOT(ISNUMBER('01_Thiet_lap'!$D$24))),"Cần chốt dự phòng cấp 2",IF(AND(B38&lt;&gt;"G4",J38&gt;'01_Thiet_lap'!$D$10),"Cần rà soát mức dự phòng",IF(AND(B38="G4",ISNUMBER('01_Thiet_lap'!$D$24),J38&gt;'01_Thiet_lap'!$D$24),"Cần rà soát dự phòng cấp 2",IF(AND(J38&gt;0,Q38=""),"Cần bổ sung lý do dùng dự phòng",IF(C38&lt;&gt;"Hợp lệ","Chi phát sinh ngoài ngày hợp lệ",IF(NOT(ISNUMBER(M38)),"Chờ xác nhận thuế/phí",IF(I38&gt;D38,"Cần rà soát mức chi trong ngày","Đã ghi nhận"))))))))))))))))</f>
        <v/>
      </c>
      <c r="Q38" s="43" t="n"/>
      <c r="R38" s="43" t="n"/>
      <c r="S38" s="129">
        <f>IF(AND(ISNUMBER(A38),COUNTIF('02_Lo_trinh'!$A$7:$A$11,B38)=1,C38="Hợp lệ",COUNT(E38:H38)=4,I38&gt;0,COUNTIF($A$7:$A$96,A38)=1),1,0)</f>
        <v/>
      </c>
    </row>
    <row r="39" ht="38" customHeight="1">
      <c r="A39" s="130" t="inlineStr">
        <is>
          <t>[Chưa chốt]</t>
        </is>
      </c>
      <c r="B39" s="43" t="n"/>
      <c r="C39" s="43" t="inlineStr">
        <is>
          <t>Chưa xác nhận</t>
        </is>
      </c>
      <c r="D39" s="128">
        <f>IF(B39="","",IFERROR(VLOOKUP(B39,'02_Lo_trinh'!$A$7:$N$11,6,FALSE),""))</f>
        <v/>
      </c>
      <c r="E39" s="132" t="n"/>
      <c r="F39" s="132" t="n"/>
      <c r="G39" s="132" t="n"/>
      <c r="H39" s="132" t="n"/>
      <c r="I39" s="128">
        <f>IF(COUNT(E39:H39)=0,"",SUM(E39:H39))</f>
        <v/>
      </c>
      <c r="J39" s="132" t="n"/>
      <c r="K39" s="128">
        <f>IF(OR(S39&lt;&gt;1,NOT(ISNUMBER(J39)),J39&lt;0,J39&gt;I39),"",IF(B39="G4",IF(ISNUMBER('01_Thiet_lap'!$D$24),MAX(0,'01_Thiet_lap'!$D$24-J39),""),MAX(0,'01_Thiet_lap'!$D$10-J39)))</f>
        <v/>
      </c>
      <c r="L39" s="128">
        <f>IF(AND(ISNUMBER(I39),ISNUMBER(D39)),D39-I39,"")</f>
        <v/>
      </c>
      <c r="M39" s="132" t="n"/>
      <c r="N39" s="128">
        <f>IF(AND(ISNUMBER(I39),ISNUMBER(M39)),I39+M39,"")</f>
        <v/>
      </c>
      <c r="O39" s="38">
        <f>IF(B39="","",IFERROR(VLOOKUP(B39,'02_Lo_trinh'!$A$7:$N$11,10,FALSE),"Cần chọn lại giai đoạn"))</f>
        <v/>
      </c>
      <c r="P39" s="38">
        <f>IF(COUNT(E39:H39,M39)=0,"",IF(NOT(ISNUMBER(A39)),"Cần cập nhật ngày",IF(COUNTIF('02_Lo_trinh'!$A$7:$A$11,B39)&lt;&gt;1,"Cần chọn giai đoạn",IF(COUNTIF($A$7:$A$96,A39)&gt;1,"Cần rà soát ngày trùng",IF(COUNT(E39:H39)&lt;4,"Cần nhập đủ 4 khoản chi",IF(MIN(E39:H39)&lt;0,"Cần rà soát khoản chi âm",IF(O39&lt;&gt;"Đã phê duyệt","Cần đối chiếu phê duyệt",IF(NOT(ISNUMBER(J39)),"Cần ghi phần dự phòng",IF(OR(J39&lt;0,J39&gt;I39),"Cần rà soát số tiền dự phòng",IF(AND(B39="G4",NOT(ISNUMBER('01_Thiet_lap'!$D$24))),"Cần chốt dự phòng cấp 2",IF(AND(B39&lt;&gt;"G4",J39&gt;'01_Thiet_lap'!$D$10),"Cần rà soát mức dự phòng",IF(AND(B39="G4",ISNUMBER('01_Thiet_lap'!$D$24),J39&gt;'01_Thiet_lap'!$D$24),"Cần rà soát dự phòng cấp 2",IF(AND(J39&gt;0,Q39=""),"Cần bổ sung lý do dùng dự phòng",IF(C39&lt;&gt;"Hợp lệ","Chi phát sinh ngoài ngày hợp lệ",IF(NOT(ISNUMBER(M39)),"Chờ xác nhận thuế/phí",IF(I39&gt;D39,"Cần rà soát mức chi trong ngày","Đã ghi nhận"))))))))))))))))</f>
        <v/>
      </c>
      <c r="Q39" s="43" t="n"/>
      <c r="R39" s="43" t="n"/>
      <c r="S39" s="129">
        <f>IF(AND(ISNUMBER(A39),COUNTIF('02_Lo_trinh'!$A$7:$A$11,B39)=1,C39="Hợp lệ",COUNT(E39:H39)=4,I39&gt;0,COUNTIF($A$7:$A$96,A39)=1),1,0)</f>
        <v/>
      </c>
    </row>
    <row r="40" ht="38" customHeight="1">
      <c r="A40" s="130" t="inlineStr">
        <is>
          <t>[Chưa chốt]</t>
        </is>
      </c>
      <c r="B40" s="43" t="n"/>
      <c r="C40" s="43" t="inlineStr">
        <is>
          <t>Chưa xác nhận</t>
        </is>
      </c>
      <c r="D40" s="128">
        <f>IF(B40="","",IFERROR(VLOOKUP(B40,'02_Lo_trinh'!$A$7:$N$11,6,FALSE),""))</f>
        <v/>
      </c>
      <c r="E40" s="132" t="n"/>
      <c r="F40" s="132" t="n"/>
      <c r="G40" s="132" t="n"/>
      <c r="H40" s="132" t="n"/>
      <c r="I40" s="128">
        <f>IF(COUNT(E40:H40)=0,"",SUM(E40:H40))</f>
        <v/>
      </c>
      <c r="J40" s="132" t="n"/>
      <c r="K40" s="128">
        <f>IF(OR(S40&lt;&gt;1,NOT(ISNUMBER(J40)),J40&lt;0,J40&gt;I40),"",IF(B40="G4",IF(ISNUMBER('01_Thiet_lap'!$D$24),MAX(0,'01_Thiet_lap'!$D$24-J40),""),MAX(0,'01_Thiet_lap'!$D$10-J40)))</f>
        <v/>
      </c>
      <c r="L40" s="128">
        <f>IF(AND(ISNUMBER(I40),ISNUMBER(D40)),D40-I40,"")</f>
        <v/>
      </c>
      <c r="M40" s="132" t="n"/>
      <c r="N40" s="128">
        <f>IF(AND(ISNUMBER(I40),ISNUMBER(M40)),I40+M40,"")</f>
        <v/>
      </c>
      <c r="O40" s="38">
        <f>IF(B40="","",IFERROR(VLOOKUP(B40,'02_Lo_trinh'!$A$7:$N$11,10,FALSE),"Cần chọn lại giai đoạn"))</f>
        <v/>
      </c>
      <c r="P40" s="38">
        <f>IF(COUNT(E40:H40,M40)=0,"",IF(NOT(ISNUMBER(A40)),"Cần cập nhật ngày",IF(COUNTIF('02_Lo_trinh'!$A$7:$A$11,B40)&lt;&gt;1,"Cần chọn giai đoạn",IF(COUNTIF($A$7:$A$96,A40)&gt;1,"Cần rà soát ngày trùng",IF(COUNT(E40:H40)&lt;4,"Cần nhập đủ 4 khoản chi",IF(MIN(E40:H40)&lt;0,"Cần rà soát khoản chi âm",IF(O40&lt;&gt;"Đã phê duyệt","Cần đối chiếu phê duyệt",IF(NOT(ISNUMBER(J40)),"Cần ghi phần dự phòng",IF(OR(J40&lt;0,J40&gt;I40),"Cần rà soát số tiền dự phòng",IF(AND(B40="G4",NOT(ISNUMBER('01_Thiet_lap'!$D$24))),"Cần chốt dự phòng cấp 2",IF(AND(B40&lt;&gt;"G4",J40&gt;'01_Thiet_lap'!$D$10),"Cần rà soát mức dự phòng",IF(AND(B40="G4",ISNUMBER('01_Thiet_lap'!$D$24),J40&gt;'01_Thiet_lap'!$D$24),"Cần rà soát dự phòng cấp 2",IF(AND(J40&gt;0,Q40=""),"Cần bổ sung lý do dùng dự phòng",IF(C40&lt;&gt;"Hợp lệ","Chi phát sinh ngoài ngày hợp lệ",IF(NOT(ISNUMBER(M40)),"Chờ xác nhận thuế/phí",IF(I40&gt;D40,"Cần rà soát mức chi trong ngày","Đã ghi nhận"))))))))))))))))</f>
        <v/>
      </c>
      <c r="Q40" s="43" t="n"/>
      <c r="R40" s="43" t="n"/>
      <c r="S40" s="129">
        <f>IF(AND(ISNUMBER(A40),COUNTIF('02_Lo_trinh'!$A$7:$A$11,B40)=1,C40="Hợp lệ",COUNT(E40:H40)=4,I40&gt;0,COUNTIF($A$7:$A$96,A40)=1),1,0)</f>
        <v/>
      </c>
    </row>
    <row r="41" ht="38" customHeight="1">
      <c r="A41" s="130" t="inlineStr">
        <is>
          <t>[Chưa chốt]</t>
        </is>
      </c>
      <c r="B41" s="43" t="n"/>
      <c r="C41" s="43" t="inlineStr">
        <is>
          <t>Chưa xác nhận</t>
        </is>
      </c>
      <c r="D41" s="128">
        <f>IF(B41="","",IFERROR(VLOOKUP(B41,'02_Lo_trinh'!$A$7:$N$11,6,FALSE),""))</f>
        <v/>
      </c>
      <c r="E41" s="132" t="n"/>
      <c r="F41" s="132" t="n"/>
      <c r="G41" s="132" t="n"/>
      <c r="H41" s="132" t="n"/>
      <c r="I41" s="128">
        <f>IF(COUNT(E41:H41)=0,"",SUM(E41:H41))</f>
        <v/>
      </c>
      <c r="J41" s="132" t="n"/>
      <c r="K41" s="128">
        <f>IF(OR(S41&lt;&gt;1,NOT(ISNUMBER(J41)),J41&lt;0,J41&gt;I41),"",IF(B41="G4",IF(ISNUMBER('01_Thiet_lap'!$D$24),MAX(0,'01_Thiet_lap'!$D$24-J41),""),MAX(0,'01_Thiet_lap'!$D$10-J41)))</f>
        <v/>
      </c>
      <c r="L41" s="128">
        <f>IF(AND(ISNUMBER(I41),ISNUMBER(D41)),D41-I41,"")</f>
        <v/>
      </c>
      <c r="M41" s="132" t="n"/>
      <c r="N41" s="128">
        <f>IF(AND(ISNUMBER(I41),ISNUMBER(M41)),I41+M41,"")</f>
        <v/>
      </c>
      <c r="O41" s="38">
        <f>IF(B41="","",IFERROR(VLOOKUP(B41,'02_Lo_trinh'!$A$7:$N$11,10,FALSE),"Cần chọn lại giai đoạn"))</f>
        <v/>
      </c>
      <c r="P41" s="38">
        <f>IF(COUNT(E41:H41,M41)=0,"",IF(NOT(ISNUMBER(A41)),"Cần cập nhật ngày",IF(COUNTIF('02_Lo_trinh'!$A$7:$A$11,B41)&lt;&gt;1,"Cần chọn giai đoạn",IF(COUNTIF($A$7:$A$96,A41)&gt;1,"Cần rà soát ngày trùng",IF(COUNT(E41:H41)&lt;4,"Cần nhập đủ 4 khoản chi",IF(MIN(E41:H41)&lt;0,"Cần rà soát khoản chi âm",IF(O41&lt;&gt;"Đã phê duyệt","Cần đối chiếu phê duyệt",IF(NOT(ISNUMBER(J41)),"Cần ghi phần dự phòng",IF(OR(J41&lt;0,J41&gt;I41),"Cần rà soát số tiền dự phòng",IF(AND(B41="G4",NOT(ISNUMBER('01_Thiet_lap'!$D$24))),"Cần chốt dự phòng cấp 2",IF(AND(B41&lt;&gt;"G4",J41&gt;'01_Thiet_lap'!$D$10),"Cần rà soát mức dự phòng",IF(AND(B41="G4",ISNUMBER('01_Thiet_lap'!$D$24),J41&gt;'01_Thiet_lap'!$D$24),"Cần rà soát dự phòng cấp 2",IF(AND(J41&gt;0,Q41=""),"Cần bổ sung lý do dùng dự phòng",IF(C41&lt;&gt;"Hợp lệ","Chi phát sinh ngoài ngày hợp lệ",IF(NOT(ISNUMBER(M41)),"Chờ xác nhận thuế/phí",IF(I41&gt;D41,"Cần rà soát mức chi trong ngày","Đã ghi nhận"))))))))))))))))</f>
        <v/>
      </c>
      <c r="Q41" s="43" t="n"/>
      <c r="R41" s="43" t="n"/>
      <c r="S41" s="129">
        <f>IF(AND(ISNUMBER(A41),COUNTIF('02_Lo_trinh'!$A$7:$A$11,B41)=1,C41="Hợp lệ",COUNT(E41:H41)=4,I41&gt;0,COUNTIF($A$7:$A$96,A41)=1),1,0)</f>
        <v/>
      </c>
    </row>
    <row r="42" ht="38" customHeight="1">
      <c r="A42" s="130" t="inlineStr">
        <is>
          <t>[Chưa chốt]</t>
        </is>
      </c>
      <c r="B42" s="43" t="n"/>
      <c r="C42" s="43" t="inlineStr">
        <is>
          <t>Chưa xác nhận</t>
        </is>
      </c>
      <c r="D42" s="128">
        <f>IF(B42="","",IFERROR(VLOOKUP(B42,'02_Lo_trinh'!$A$7:$N$11,6,FALSE),""))</f>
        <v/>
      </c>
      <c r="E42" s="132" t="n"/>
      <c r="F42" s="132" t="n"/>
      <c r="G42" s="132" t="n"/>
      <c r="H42" s="132" t="n"/>
      <c r="I42" s="128">
        <f>IF(COUNT(E42:H42)=0,"",SUM(E42:H42))</f>
        <v/>
      </c>
      <c r="J42" s="132" t="n"/>
      <c r="K42" s="128">
        <f>IF(OR(S42&lt;&gt;1,NOT(ISNUMBER(J42)),J42&lt;0,J42&gt;I42),"",IF(B42="G4",IF(ISNUMBER('01_Thiet_lap'!$D$24),MAX(0,'01_Thiet_lap'!$D$24-J42),""),MAX(0,'01_Thiet_lap'!$D$10-J42)))</f>
        <v/>
      </c>
      <c r="L42" s="128">
        <f>IF(AND(ISNUMBER(I42),ISNUMBER(D42)),D42-I42,"")</f>
        <v/>
      </c>
      <c r="M42" s="132" t="n"/>
      <c r="N42" s="128">
        <f>IF(AND(ISNUMBER(I42),ISNUMBER(M42)),I42+M42,"")</f>
        <v/>
      </c>
      <c r="O42" s="38">
        <f>IF(B42="","",IFERROR(VLOOKUP(B42,'02_Lo_trinh'!$A$7:$N$11,10,FALSE),"Cần chọn lại giai đoạn"))</f>
        <v/>
      </c>
      <c r="P42" s="38">
        <f>IF(COUNT(E42:H42,M42)=0,"",IF(NOT(ISNUMBER(A42)),"Cần cập nhật ngày",IF(COUNTIF('02_Lo_trinh'!$A$7:$A$11,B42)&lt;&gt;1,"Cần chọn giai đoạn",IF(COUNTIF($A$7:$A$96,A42)&gt;1,"Cần rà soát ngày trùng",IF(COUNT(E42:H42)&lt;4,"Cần nhập đủ 4 khoản chi",IF(MIN(E42:H42)&lt;0,"Cần rà soát khoản chi âm",IF(O42&lt;&gt;"Đã phê duyệt","Cần đối chiếu phê duyệt",IF(NOT(ISNUMBER(J42)),"Cần ghi phần dự phòng",IF(OR(J42&lt;0,J42&gt;I42),"Cần rà soát số tiền dự phòng",IF(AND(B42="G4",NOT(ISNUMBER('01_Thiet_lap'!$D$24))),"Cần chốt dự phòng cấp 2",IF(AND(B42&lt;&gt;"G4",J42&gt;'01_Thiet_lap'!$D$10),"Cần rà soát mức dự phòng",IF(AND(B42="G4",ISNUMBER('01_Thiet_lap'!$D$24),J42&gt;'01_Thiet_lap'!$D$24),"Cần rà soát dự phòng cấp 2",IF(AND(J42&gt;0,Q42=""),"Cần bổ sung lý do dùng dự phòng",IF(C42&lt;&gt;"Hợp lệ","Chi phát sinh ngoài ngày hợp lệ",IF(NOT(ISNUMBER(M42)),"Chờ xác nhận thuế/phí",IF(I42&gt;D42,"Cần rà soát mức chi trong ngày","Đã ghi nhận"))))))))))))))))</f>
        <v/>
      </c>
      <c r="Q42" s="43" t="n"/>
      <c r="R42" s="43" t="n"/>
      <c r="S42" s="129">
        <f>IF(AND(ISNUMBER(A42),COUNTIF('02_Lo_trinh'!$A$7:$A$11,B42)=1,C42="Hợp lệ",COUNT(E42:H42)=4,I42&gt;0,COUNTIF($A$7:$A$96,A42)=1),1,0)</f>
        <v/>
      </c>
    </row>
    <row r="43" ht="38" customHeight="1">
      <c r="A43" s="130" t="inlineStr">
        <is>
          <t>[Chưa chốt]</t>
        </is>
      </c>
      <c r="B43" s="43" t="n"/>
      <c r="C43" s="43" t="inlineStr">
        <is>
          <t>Chưa xác nhận</t>
        </is>
      </c>
      <c r="D43" s="128">
        <f>IF(B43="","",IFERROR(VLOOKUP(B43,'02_Lo_trinh'!$A$7:$N$11,6,FALSE),""))</f>
        <v/>
      </c>
      <c r="E43" s="132" t="n"/>
      <c r="F43" s="132" t="n"/>
      <c r="G43" s="132" t="n"/>
      <c r="H43" s="132" t="n"/>
      <c r="I43" s="128">
        <f>IF(COUNT(E43:H43)=0,"",SUM(E43:H43))</f>
        <v/>
      </c>
      <c r="J43" s="132" t="n"/>
      <c r="K43" s="128">
        <f>IF(OR(S43&lt;&gt;1,NOT(ISNUMBER(J43)),J43&lt;0,J43&gt;I43),"",IF(B43="G4",IF(ISNUMBER('01_Thiet_lap'!$D$24),MAX(0,'01_Thiet_lap'!$D$24-J43),""),MAX(0,'01_Thiet_lap'!$D$10-J43)))</f>
        <v/>
      </c>
      <c r="L43" s="128">
        <f>IF(AND(ISNUMBER(I43),ISNUMBER(D43)),D43-I43,"")</f>
        <v/>
      </c>
      <c r="M43" s="132" t="n"/>
      <c r="N43" s="128">
        <f>IF(AND(ISNUMBER(I43),ISNUMBER(M43)),I43+M43,"")</f>
        <v/>
      </c>
      <c r="O43" s="38">
        <f>IF(B43="","",IFERROR(VLOOKUP(B43,'02_Lo_trinh'!$A$7:$N$11,10,FALSE),"Cần chọn lại giai đoạn"))</f>
        <v/>
      </c>
      <c r="P43" s="38">
        <f>IF(COUNT(E43:H43,M43)=0,"",IF(NOT(ISNUMBER(A43)),"Cần cập nhật ngày",IF(COUNTIF('02_Lo_trinh'!$A$7:$A$11,B43)&lt;&gt;1,"Cần chọn giai đoạn",IF(COUNTIF($A$7:$A$96,A43)&gt;1,"Cần rà soát ngày trùng",IF(COUNT(E43:H43)&lt;4,"Cần nhập đủ 4 khoản chi",IF(MIN(E43:H43)&lt;0,"Cần rà soát khoản chi âm",IF(O43&lt;&gt;"Đã phê duyệt","Cần đối chiếu phê duyệt",IF(NOT(ISNUMBER(J43)),"Cần ghi phần dự phòng",IF(OR(J43&lt;0,J43&gt;I43),"Cần rà soát số tiền dự phòng",IF(AND(B43="G4",NOT(ISNUMBER('01_Thiet_lap'!$D$24))),"Cần chốt dự phòng cấp 2",IF(AND(B43&lt;&gt;"G4",J43&gt;'01_Thiet_lap'!$D$10),"Cần rà soát mức dự phòng",IF(AND(B43="G4",ISNUMBER('01_Thiet_lap'!$D$24),J43&gt;'01_Thiet_lap'!$D$24),"Cần rà soát dự phòng cấp 2",IF(AND(J43&gt;0,Q43=""),"Cần bổ sung lý do dùng dự phòng",IF(C43&lt;&gt;"Hợp lệ","Chi phát sinh ngoài ngày hợp lệ",IF(NOT(ISNUMBER(M43)),"Chờ xác nhận thuế/phí",IF(I43&gt;D43,"Cần rà soát mức chi trong ngày","Đã ghi nhận"))))))))))))))))</f>
        <v/>
      </c>
      <c r="Q43" s="43" t="n"/>
      <c r="R43" s="43" t="n"/>
      <c r="S43" s="129">
        <f>IF(AND(ISNUMBER(A43),COUNTIF('02_Lo_trinh'!$A$7:$A$11,B43)=1,C43="Hợp lệ",COUNT(E43:H43)=4,I43&gt;0,COUNTIF($A$7:$A$96,A43)=1),1,0)</f>
        <v/>
      </c>
    </row>
    <row r="44" ht="38" customHeight="1">
      <c r="A44" s="130" t="inlineStr">
        <is>
          <t>[Chưa chốt]</t>
        </is>
      </c>
      <c r="B44" s="43" t="n"/>
      <c r="C44" s="43" t="inlineStr">
        <is>
          <t>Chưa xác nhận</t>
        </is>
      </c>
      <c r="D44" s="128">
        <f>IF(B44="","",IFERROR(VLOOKUP(B44,'02_Lo_trinh'!$A$7:$N$11,6,FALSE),""))</f>
        <v/>
      </c>
      <c r="E44" s="132" t="n"/>
      <c r="F44" s="132" t="n"/>
      <c r="G44" s="132" t="n"/>
      <c r="H44" s="132" t="n"/>
      <c r="I44" s="128">
        <f>IF(COUNT(E44:H44)=0,"",SUM(E44:H44))</f>
        <v/>
      </c>
      <c r="J44" s="132" t="n"/>
      <c r="K44" s="128">
        <f>IF(OR(S44&lt;&gt;1,NOT(ISNUMBER(J44)),J44&lt;0,J44&gt;I44),"",IF(B44="G4",IF(ISNUMBER('01_Thiet_lap'!$D$24),MAX(0,'01_Thiet_lap'!$D$24-J44),""),MAX(0,'01_Thiet_lap'!$D$10-J44)))</f>
        <v/>
      </c>
      <c r="L44" s="128">
        <f>IF(AND(ISNUMBER(I44),ISNUMBER(D44)),D44-I44,"")</f>
        <v/>
      </c>
      <c r="M44" s="132" t="n"/>
      <c r="N44" s="128">
        <f>IF(AND(ISNUMBER(I44),ISNUMBER(M44)),I44+M44,"")</f>
        <v/>
      </c>
      <c r="O44" s="38">
        <f>IF(B44="","",IFERROR(VLOOKUP(B44,'02_Lo_trinh'!$A$7:$N$11,10,FALSE),"Cần chọn lại giai đoạn"))</f>
        <v/>
      </c>
      <c r="P44" s="38">
        <f>IF(COUNT(E44:H44,M44)=0,"",IF(NOT(ISNUMBER(A44)),"Cần cập nhật ngày",IF(COUNTIF('02_Lo_trinh'!$A$7:$A$11,B44)&lt;&gt;1,"Cần chọn giai đoạn",IF(COUNTIF($A$7:$A$96,A44)&gt;1,"Cần rà soát ngày trùng",IF(COUNT(E44:H44)&lt;4,"Cần nhập đủ 4 khoản chi",IF(MIN(E44:H44)&lt;0,"Cần rà soát khoản chi âm",IF(O44&lt;&gt;"Đã phê duyệt","Cần đối chiếu phê duyệt",IF(NOT(ISNUMBER(J44)),"Cần ghi phần dự phòng",IF(OR(J44&lt;0,J44&gt;I44),"Cần rà soát số tiền dự phòng",IF(AND(B44="G4",NOT(ISNUMBER('01_Thiet_lap'!$D$24))),"Cần chốt dự phòng cấp 2",IF(AND(B44&lt;&gt;"G4",J44&gt;'01_Thiet_lap'!$D$10),"Cần rà soát mức dự phòng",IF(AND(B44="G4",ISNUMBER('01_Thiet_lap'!$D$24),J44&gt;'01_Thiet_lap'!$D$24),"Cần rà soát dự phòng cấp 2",IF(AND(J44&gt;0,Q44=""),"Cần bổ sung lý do dùng dự phòng",IF(C44&lt;&gt;"Hợp lệ","Chi phát sinh ngoài ngày hợp lệ",IF(NOT(ISNUMBER(M44)),"Chờ xác nhận thuế/phí",IF(I44&gt;D44,"Cần rà soát mức chi trong ngày","Đã ghi nhận"))))))))))))))))</f>
        <v/>
      </c>
      <c r="Q44" s="43" t="n"/>
      <c r="R44" s="43" t="n"/>
      <c r="S44" s="129">
        <f>IF(AND(ISNUMBER(A44),COUNTIF('02_Lo_trinh'!$A$7:$A$11,B44)=1,C44="Hợp lệ",COUNT(E44:H44)=4,I44&gt;0,COUNTIF($A$7:$A$96,A44)=1),1,0)</f>
        <v/>
      </c>
    </row>
    <row r="45" ht="38" customHeight="1">
      <c r="A45" s="130" t="inlineStr">
        <is>
          <t>[Chưa chốt]</t>
        </is>
      </c>
      <c r="B45" s="43" t="n"/>
      <c r="C45" s="43" t="inlineStr">
        <is>
          <t>Chưa xác nhận</t>
        </is>
      </c>
      <c r="D45" s="128">
        <f>IF(B45="","",IFERROR(VLOOKUP(B45,'02_Lo_trinh'!$A$7:$N$11,6,FALSE),""))</f>
        <v/>
      </c>
      <c r="E45" s="132" t="n"/>
      <c r="F45" s="132" t="n"/>
      <c r="G45" s="132" t="n"/>
      <c r="H45" s="132" t="n"/>
      <c r="I45" s="128">
        <f>IF(COUNT(E45:H45)=0,"",SUM(E45:H45))</f>
        <v/>
      </c>
      <c r="J45" s="132" t="n"/>
      <c r="K45" s="128">
        <f>IF(OR(S45&lt;&gt;1,NOT(ISNUMBER(J45)),J45&lt;0,J45&gt;I45),"",IF(B45="G4",IF(ISNUMBER('01_Thiet_lap'!$D$24),MAX(0,'01_Thiet_lap'!$D$24-J45),""),MAX(0,'01_Thiet_lap'!$D$10-J45)))</f>
        <v/>
      </c>
      <c r="L45" s="128">
        <f>IF(AND(ISNUMBER(I45),ISNUMBER(D45)),D45-I45,"")</f>
        <v/>
      </c>
      <c r="M45" s="132" t="n"/>
      <c r="N45" s="128">
        <f>IF(AND(ISNUMBER(I45),ISNUMBER(M45)),I45+M45,"")</f>
        <v/>
      </c>
      <c r="O45" s="38">
        <f>IF(B45="","",IFERROR(VLOOKUP(B45,'02_Lo_trinh'!$A$7:$N$11,10,FALSE),"Cần chọn lại giai đoạn"))</f>
        <v/>
      </c>
      <c r="P45" s="38">
        <f>IF(COUNT(E45:H45,M45)=0,"",IF(NOT(ISNUMBER(A45)),"Cần cập nhật ngày",IF(COUNTIF('02_Lo_trinh'!$A$7:$A$11,B45)&lt;&gt;1,"Cần chọn giai đoạn",IF(COUNTIF($A$7:$A$96,A45)&gt;1,"Cần rà soát ngày trùng",IF(COUNT(E45:H45)&lt;4,"Cần nhập đủ 4 khoản chi",IF(MIN(E45:H45)&lt;0,"Cần rà soát khoản chi âm",IF(O45&lt;&gt;"Đã phê duyệt","Cần đối chiếu phê duyệt",IF(NOT(ISNUMBER(J45)),"Cần ghi phần dự phòng",IF(OR(J45&lt;0,J45&gt;I45),"Cần rà soát số tiền dự phòng",IF(AND(B45="G4",NOT(ISNUMBER('01_Thiet_lap'!$D$24))),"Cần chốt dự phòng cấp 2",IF(AND(B45&lt;&gt;"G4",J45&gt;'01_Thiet_lap'!$D$10),"Cần rà soát mức dự phòng",IF(AND(B45="G4",ISNUMBER('01_Thiet_lap'!$D$24),J45&gt;'01_Thiet_lap'!$D$24),"Cần rà soát dự phòng cấp 2",IF(AND(J45&gt;0,Q45=""),"Cần bổ sung lý do dùng dự phòng",IF(C45&lt;&gt;"Hợp lệ","Chi phát sinh ngoài ngày hợp lệ",IF(NOT(ISNUMBER(M45)),"Chờ xác nhận thuế/phí",IF(I45&gt;D45,"Cần rà soát mức chi trong ngày","Đã ghi nhận"))))))))))))))))</f>
        <v/>
      </c>
      <c r="Q45" s="43" t="n"/>
      <c r="R45" s="43" t="n"/>
      <c r="S45" s="129">
        <f>IF(AND(ISNUMBER(A45),COUNTIF('02_Lo_trinh'!$A$7:$A$11,B45)=1,C45="Hợp lệ",COUNT(E45:H45)=4,I45&gt;0,COUNTIF($A$7:$A$96,A45)=1),1,0)</f>
        <v/>
      </c>
    </row>
    <row r="46" ht="38" customHeight="1">
      <c r="A46" s="130" t="inlineStr">
        <is>
          <t>[Chưa chốt]</t>
        </is>
      </c>
      <c r="B46" s="43" t="n"/>
      <c r="C46" s="43" t="inlineStr">
        <is>
          <t>Chưa xác nhận</t>
        </is>
      </c>
      <c r="D46" s="128">
        <f>IF(B46="","",IFERROR(VLOOKUP(B46,'02_Lo_trinh'!$A$7:$N$11,6,FALSE),""))</f>
        <v/>
      </c>
      <c r="E46" s="132" t="n"/>
      <c r="F46" s="132" t="n"/>
      <c r="G46" s="132" t="n"/>
      <c r="H46" s="132" t="n"/>
      <c r="I46" s="128">
        <f>IF(COUNT(E46:H46)=0,"",SUM(E46:H46))</f>
        <v/>
      </c>
      <c r="J46" s="132" t="n"/>
      <c r="K46" s="128">
        <f>IF(OR(S46&lt;&gt;1,NOT(ISNUMBER(J46)),J46&lt;0,J46&gt;I46),"",IF(B46="G4",IF(ISNUMBER('01_Thiet_lap'!$D$24),MAX(0,'01_Thiet_lap'!$D$24-J46),""),MAX(0,'01_Thiet_lap'!$D$10-J46)))</f>
        <v/>
      </c>
      <c r="L46" s="128">
        <f>IF(AND(ISNUMBER(I46),ISNUMBER(D46)),D46-I46,"")</f>
        <v/>
      </c>
      <c r="M46" s="132" t="n"/>
      <c r="N46" s="128">
        <f>IF(AND(ISNUMBER(I46),ISNUMBER(M46)),I46+M46,"")</f>
        <v/>
      </c>
      <c r="O46" s="38">
        <f>IF(B46="","",IFERROR(VLOOKUP(B46,'02_Lo_trinh'!$A$7:$N$11,10,FALSE),"Cần chọn lại giai đoạn"))</f>
        <v/>
      </c>
      <c r="P46" s="38">
        <f>IF(COUNT(E46:H46,M46)=0,"",IF(NOT(ISNUMBER(A46)),"Cần cập nhật ngày",IF(COUNTIF('02_Lo_trinh'!$A$7:$A$11,B46)&lt;&gt;1,"Cần chọn giai đoạn",IF(COUNTIF($A$7:$A$96,A46)&gt;1,"Cần rà soát ngày trùng",IF(COUNT(E46:H46)&lt;4,"Cần nhập đủ 4 khoản chi",IF(MIN(E46:H46)&lt;0,"Cần rà soát khoản chi âm",IF(O46&lt;&gt;"Đã phê duyệt","Cần đối chiếu phê duyệt",IF(NOT(ISNUMBER(J46)),"Cần ghi phần dự phòng",IF(OR(J46&lt;0,J46&gt;I46),"Cần rà soát số tiền dự phòng",IF(AND(B46="G4",NOT(ISNUMBER('01_Thiet_lap'!$D$24))),"Cần chốt dự phòng cấp 2",IF(AND(B46&lt;&gt;"G4",J46&gt;'01_Thiet_lap'!$D$10),"Cần rà soát mức dự phòng",IF(AND(B46="G4",ISNUMBER('01_Thiet_lap'!$D$24),J46&gt;'01_Thiet_lap'!$D$24),"Cần rà soát dự phòng cấp 2",IF(AND(J46&gt;0,Q46=""),"Cần bổ sung lý do dùng dự phòng",IF(C46&lt;&gt;"Hợp lệ","Chi phát sinh ngoài ngày hợp lệ",IF(NOT(ISNUMBER(M46)),"Chờ xác nhận thuế/phí",IF(I46&gt;D46,"Cần rà soát mức chi trong ngày","Đã ghi nhận"))))))))))))))))</f>
        <v/>
      </c>
      <c r="Q46" s="43" t="n"/>
      <c r="R46" s="43" t="n"/>
      <c r="S46" s="129">
        <f>IF(AND(ISNUMBER(A46),COUNTIF('02_Lo_trinh'!$A$7:$A$11,B46)=1,C46="Hợp lệ",COUNT(E46:H46)=4,I46&gt;0,COUNTIF($A$7:$A$96,A46)=1),1,0)</f>
        <v/>
      </c>
    </row>
    <row r="47" ht="38" customHeight="1">
      <c r="A47" s="130" t="inlineStr">
        <is>
          <t>[Chưa chốt]</t>
        </is>
      </c>
      <c r="B47" s="43" t="n"/>
      <c r="C47" s="43" t="inlineStr">
        <is>
          <t>Chưa xác nhận</t>
        </is>
      </c>
      <c r="D47" s="128">
        <f>IF(B47="","",IFERROR(VLOOKUP(B47,'02_Lo_trinh'!$A$7:$N$11,6,FALSE),""))</f>
        <v/>
      </c>
      <c r="E47" s="132" t="n"/>
      <c r="F47" s="132" t="n"/>
      <c r="G47" s="132" t="n"/>
      <c r="H47" s="132" t="n"/>
      <c r="I47" s="128">
        <f>IF(COUNT(E47:H47)=0,"",SUM(E47:H47))</f>
        <v/>
      </c>
      <c r="J47" s="132" t="n"/>
      <c r="K47" s="128">
        <f>IF(OR(S47&lt;&gt;1,NOT(ISNUMBER(J47)),J47&lt;0,J47&gt;I47),"",IF(B47="G4",IF(ISNUMBER('01_Thiet_lap'!$D$24),MAX(0,'01_Thiet_lap'!$D$24-J47),""),MAX(0,'01_Thiet_lap'!$D$10-J47)))</f>
        <v/>
      </c>
      <c r="L47" s="128">
        <f>IF(AND(ISNUMBER(I47),ISNUMBER(D47)),D47-I47,"")</f>
        <v/>
      </c>
      <c r="M47" s="132" t="n"/>
      <c r="N47" s="128">
        <f>IF(AND(ISNUMBER(I47),ISNUMBER(M47)),I47+M47,"")</f>
        <v/>
      </c>
      <c r="O47" s="38">
        <f>IF(B47="","",IFERROR(VLOOKUP(B47,'02_Lo_trinh'!$A$7:$N$11,10,FALSE),"Cần chọn lại giai đoạn"))</f>
        <v/>
      </c>
      <c r="P47" s="38">
        <f>IF(COUNT(E47:H47,M47)=0,"",IF(NOT(ISNUMBER(A47)),"Cần cập nhật ngày",IF(COUNTIF('02_Lo_trinh'!$A$7:$A$11,B47)&lt;&gt;1,"Cần chọn giai đoạn",IF(COUNTIF($A$7:$A$96,A47)&gt;1,"Cần rà soát ngày trùng",IF(COUNT(E47:H47)&lt;4,"Cần nhập đủ 4 khoản chi",IF(MIN(E47:H47)&lt;0,"Cần rà soát khoản chi âm",IF(O47&lt;&gt;"Đã phê duyệt","Cần đối chiếu phê duyệt",IF(NOT(ISNUMBER(J47)),"Cần ghi phần dự phòng",IF(OR(J47&lt;0,J47&gt;I47),"Cần rà soát số tiền dự phòng",IF(AND(B47="G4",NOT(ISNUMBER('01_Thiet_lap'!$D$24))),"Cần chốt dự phòng cấp 2",IF(AND(B47&lt;&gt;"G4",J47&gt;'01_Thiet_lap'!$D$10),"Cần rà soát mức dự phòng",IF(AND(B47="G4",ISNUMBER('01_Thiet_lap'!$D$24),J47&gt;'01_Thiet_lap'!$D$24),"Cần rà soát dự phòng cấp 2",IF(AND(J47&gt;0,Q47=""),"Cần bổ sung lý do dùng dự phòng",IF(C47&lt;&gt;"Hợp lệ","Chi phát sinh ngoài ngày hợp lệ",IF(NOT(ISNUMBER(M47)),"Chờ xác nhận thuế/phí",IF(I47&gt;D47,"Cần rà soát mức chi trong ngày","Đã ghi nhận"))))))))))))))))</f>
        <v/>
      </c>
      <c r="Q47" s="43" t="n"/>
      <c r="R47" s="43" t="n"/>
      <c r="S47" s="129">
        <f>IF(AND(ISNUMBER(A47),COUNTIF('02_Lo_trinh'!$A$7:$A$11,B47)=1,C47="Hợp lệ",COUNT(E47:H47)=4,I47&gt;0,COUNTIF($A$7:$A$96,A47)=1),1,0)</f>
        <v/>
      </c>
    </row>
    <row r="48" ht="38" customHeight="1">
      <c r="A48" s="130" t="inlineStr">
        <is>
          <t>[Chưa chốt]</t>
        </is>
      </c>
      <c r="B48" s="43" t="n"/>
      <c r="C48" s="43" t="inlineStr">
        <is>
          <t>Chưa xác nhận</t>
        </is>
      </c>
      <c r="D48" s="128">
        <f>IF(B48="","",IFERROR(VLOOKUP(B48,'02_Lo_trinh'!$A$7:$N$11,6,FALSE),""))</f>
        <v/>
      </c>
      <c r="E48" s="132" t="n"/>
      <c r="F48" s="132" t="n"/>
      <c r="G48" s="132" t="n"/>
      <c r="H48" s="132" t="n"/>
      <c r="I48" s="128">
        <f>IF(COUNT(E48:H48)=0,"",SUM(E48:H48))</f>
        <v/>
      </c>
      <c r="J48" s="132" t="n"/>
      <c r="K48" s="128">
        <f>IF(OR(S48&lt;&gt;1,NOT(ISNUMBER(J48)),J48&lt;0,J48&gt;I48),"",IF(B48="G4",IF(ISNUMBER('01_Thiet_lap'!$D$24),MAX(0,'01_Thiet_lap'!$D$24-J48),""),MAX(0,'01_Thiet_lap'!$D$10-J48)))</f>
        <v/>
      </c>
      <c r="L48" s="128">
        <f>IF(AND(ISNUMBER(I48),ISNUMBER(D48)),D48-I48,"")</f>
        <v/>
      </c>
      <c r="M48" s="132" t="n"/>
      <c r="N48" s="128">
        <f>IF(AND(ISNUMBER(I48),ISNUMBER(M48)),I48+M48,"")</f>
        <v/>
      </c>
      <c r="O48" s="38">
        <f>IF(B48="","",IFERROR(VLOOKUP(B48,'02_Lo_trinh'!$A$7:$N$11,10,FALSE),"Cần chọn lại giai đoạn"))</f>
        <v/>
      </c>
      <c r="P48" s="38">
        <f>IF(COUNT(E48:H48,M48)=0,"",IF(NOT(ISNUMBER(A48)),"Cần cập nhật ngày",IF(COUNTIF('02_Lo_trinh'!$A$7:$A$11,B48)&lt;&gt;1,"Cần chọn giai đoạn",IF(COUNTIF($A$7:$A$96,A48)&gt;1,"Cần rà soát ngày trùng",IF(COUNT(E48:H48)&lt;4,"Cần nhập đủ 4 khoản chi",IF(MIN(E48:H48)&lt;0,"Cần rà soát khoản chi âm",IF(O48&lt;&gt;"Đã phê duyệt","Cần đối chiếu phê duyệt",IF(NOT(ISNUMBER(J48)),"Cần ghi phần dự phòng",IF(OR(J48&lt;0,J48&gt;I48),"Cần rà soát số tiền dự phòng",IF(AND(B48="G4",NOT(ISNUMBER('01_Thiet_lap'!$D$24))),"Cần chốt dự phòng cấp 2",IF(AND(B48&lt;&gt;"G4",J48&gt;'01_Thiet_lap'!$D$10),"Cần rà soát mức dự phòng",IF(AND(B48="G4",ISNUMBER('01_Thiet_lap'!$D$24),J48&gt;'01_Thiet_lap'!$D$24),"Cần rà soát dự phòng cấp 2",IF(AND(J48&gt;0,Q48=""),"Cần bổ sung lý do dùng dự phòng",IF(C48&lt;&gt;"Hợp lệ","Chi phát sinh ngoài ngày hợp lệ",IF(NOT(ISNUMBER(M48)),"Chờ xác nhận thuế/phí",IF(I48&gt;D48,"Cần rà soát mức chi trong ngày","Đã ghi nhận"))))))))))))))))</f>
        <v/>
      </c>
      <c r="Q48" s="43" t="n"/>
      <c r="R48" s="43" t="n"/>
      <c r="S48" s="129">
        <f>IF(AND(ISNUMBER(A48),COUNTIF('02_Lo_trinh'!$A$7:$A$11,B48)=1,C48="Hợp lệ",COUNT(E48:H48)=4,I48&gt;0,COUNTIF($A$7:$A$96,A48)=1),1,0)</f>
        <v/>
      </c>
    </row>
    <row r="49" ht="38" customHeight="1">
      <c r="A49" s="130" t="inlineStr">
        <is>
          <t>[Chưa chốt]</t>
        </is>
      </c>
      <c r="B49" s="43" t="n"/>
      <c r="C49" s="43" t="inlineStr">
        <is>
          <t>Chưa xác nhận</t>
        </is>
      </c>
      <c r="D49" s="128">
        <f>IF(B49="","",IFERROR(VLOOKUP(B49,'02_Lo_trinh'!$A$7:$N$11,6,FALSE),""))</f>
        <v/>
      </c>
      <c r="E49" s="132" t="n"/>
      <c r="F49" s="132" t="n"/>
      <c r="G49" s="132" t="n"/>
      <c r="H49" s="132" t="n"/>
      <c r="I49" s="128">
        <f>IF(COUNT(E49:H49)=0,"",SUM(E49:H49))</f>
        <v/>
      </c>
      <c r="J49" s="132" t="n"/>
      <c r="K49" s="128">
        <f>IF(OR(S49&lt;&gt;1,NOT(ISNUMBER(J49)),J49&lt;0,J49&gt;I49),"",IF(B49="G4",IF(ISNUMBER('01_Thiet_lap'!$D$24),MAX(0,'01_Thiet_lap'!$D$24-J49),""),MAX(0,'01_Thiet_lap'!$D$10-J49)))</f>
        <v/>
      </c>
      <c r="L49" s="128">
        <f>IF(AND(ISNUMBER(I49),ISNUMBER(D49)),D49-I49,"")</f>
        <v/>
      </c>
      <c r="M49" s="132" t="n"/>
      <c r="N49" s="128">
        <f>IF(AND(ISNUMBER(I49),ISNUMBER(M49)),I49+M49,"")</f>
        <v/>
      </c>
      <c r="O49" s="38">
        <f>IF(B49="","",IFERROR(VLOOKUP(B49,'02_Lo_trinh'!$A$7:$N$11,10,FALSE),"Cần chọn lại giai đoạn"))</f>
        <v/>
      </c>
      <c r="P49" s="38">
        <f>IF(COUNT(E49:H49,M49)=0,"",IF(NOT(ISNUMBER(A49)),"Cần cập nhật ngày",IF(COUNTIF('02_Lo_trinh'!$A$7:$A$11,B49)&lt;&gt;1,"Cần chọn giai đoạn",IF(COUNTIF($A$7:$A$96,A49)&gt;1,"Cần rà soát ngày trùng",IF(COUNT(E49:H49)&lt;4,"Cần nhập đủ 4 khoản chi",IF(MIN(E49:H49)&lt;0,"Cần rà soát khoản chi âm",IF(O49&lt;&gt;"Đã phê duyệt","Cần đối chiếu phê duyệt",IF(NOT(ISNUMBER(J49)),"Cần ghi phần dự phòng",IF(OR(J49&lt;0,J49&gt;I49),"Cần rà soát số tiền dự phòng",IF(AND(B49="G4",NOT(ISNUMBER('01_Thiet_lap'!$D$24))),"Cần chốt dự phòng cấp 2",IF(AND(B49&lt;&gt;"G4",J49&gt;'01_Thiet_lap'!$D$10),"Cần rà soát mức dự phòng",IF(AND(B49="G4",ISNUMBER('01_Thiet_lap'!$D$24),J49&gt;'01_Thiet_lap'!$D$24),"Cần rà soát dự phòng cấp 2",IF(AND(J49&gt;0,Q49=""),"Cần bổ sung lý do dùng dự phòng",IF(C49&lt;&gt;"Hợp lệ","Chi phát sinh ngoài ngày hợp lệ",IF(NOT(ISNUMBER(M49)),"Chờ xác nhận thuế/phí",IF(I49&gt;D49,"Cần rà soát mức chi trong ngày","Đã ghi nhận"))))))))))))))))</f>
        <v/>
      </c>
      <c r="Q49" s="43" t="n"/>
      <c r="R49" s="43" t="n"/>
      <c r="S49" s="129">
        <f>IF(AND(ISNUMBER(A49),COUNTIF('02_Lo_trinh'!$A$7:$A$11,B49)=1,C49="Hợp lệ",COUNT(E49:H49)=4,I49&gt;0,COUNTIF($A$7:$A$96,A49)=1),1,0)</f>
        <v/>
      </c>
    </row>
    <row r="50" ht="38" customHeight="1">
      <c r="A50" s="130" t="inlineStr">
        <is>
          <t>[Chưa chốt]</t>
        </is>
      </c>
      <c r="B50" s="43" t="n"/>
      <c r="C50" s="43" t="inlineStr">
        <is>
          <t>Chưa xác nhận</t>
        </is>
      </c>
      <c r="D50" s="128">
        <f>IF(B50="","",IFERROR(VLOOKUP(B50,'02_Lo_trinh'!$A$7:$N$11,6,FALSE),""))</f>
        <v/>
      </c>
      <c r="E50" s="132" t="n"/>
      <c r="F50" s="132" t="n"/>
      <c r="G50" s="132" t="n"/>
      <c r="H50" s="132" t="n"/>
      <c r="I50" s="128">
        <f>IF(COUNT(E50:H50)=0,"",SUM(E50:H50))</f>
        <v/>
      </c>
      <c r="J50" s="132" t="n"/>
      <c r="K50" s="128">
        <f>IF(OR(S50&lt;&gt;1,NOT(ISNUMBER(J50)),J50&lt;0,J50&gt;I50),"",IF(B50="G4",IF(ISNUMBER('01_Thiet_lap'!$D$24),MAX(0,'01_Thiet_lap'!$D$24-J50),""),MAX(0,'01_Thiet_lap'!$D$10-J50)))</f>
        <v/>
      </c>
      <c r="L50" s="128">
        <f>IF(AND(ISNUMBER(I50),ISNUMBER(D50)),D50-I50,"")</f>
        <v/>
      </c>
      <c r="M50" s="132" t="n"/>
      <c r="N50" s="128">
        <f>IF(AND(ISNUMBER(I50),ISNUMBER(M50)),I50+M50,"")</f>
        <v/>
      </c>
      <c r="O50" s="38">
        <f>IF(B50="","",IFERROR(VLOOKUP(B50,'02_Lo_trinh'!$A$7:$N$11,10,FALSE),"Cần chọn lại giai đoạn"))</f>
        <v/>
      </c>
      <c r="P50" s="38">
        <f>IF(COUNT(E50:H50,M50)=0,"",IF(NOT(ISNUMBER(A50)),"Cần cập nhật ngày",IF(COUNTIF('02_Lo_trinh'!$A$7:$A$11,B50)&lt;&gt;1,"Cần chọn giai đoạn",IF(COUNTIF($A$7:$A$96,A50)&gt;1,"Cần rà soát ngày trùng",IF(COUNT(E50:H50)&lt;4,"Cần nhập đủ 4 khoản chi",IF(MIN(E50:H50)&lt;0,"Cần rà soát khoản chi âm",IF(O50&lt;&gt;"Đã phê duyệt","Cần đối chiếu phê duyệt",IF(NOT(ISNUMBER(J50)),"Cần ghi phần dự phòng",IF(OR(J50&lt;0,J50&gt;I50),"Cần rà soát số tiền dự phòng",IF(AND(B50="G4",NOT(ISNUMBER('01_Thiet_lap'!$D$24))),"Cần chốt dự phòng cấp 2",IF(AND(B50&lt;&gt;"G4",J50&gt;'01_Thiet_lap'!$D$10),"Cần rà soát mức dự phòng",IF(AND(B50="G4",ISNUMBER('01_Thiet_lap'!$D$24),J50&gt;'01_Thiet_lap'!$D$24),"Cần rà soát dự phòng cấp 2",IF(AND(J50&gt;0,Q50=""),"Cần bổ sung lý do dùng dự phòng",IF(C50&lt;&gt;"Hợp lệ","Chi phát sinh ngoài ngày hợp lệ",IF(NOT(ISNUMBER(M50)),"Chờ xác nhận thuế/phí",IF(I50&gt;D50,"Cần rà soát mức chi trong ngày","Đã ghi nhận"))))))))))))))))</f>
        <v/>
      </c>
      <c r="Q50" s="43" t="n"/>
      <c r="R50" s="43" t="n"/>
      <c r="S50" s="129">
        <f>IF(AND(ISNUMBER(A50),COUNTIF('02_Lo_trinh'!$A$7:$A$11,B50)=1,C50="Hợp lệ",COUNT(E50:H50)=4,I50&gt;0,COUNTIF($A$7:$A$96,A50)=1),1,0)</f>
        <v/>
      </c>
    </row>
    <row r="51" ht="38" customHeight="1">
      <c r="A51" s="130" t="inlineStr">
        <is>
          <t>[Chưa chốt]</t>
        </is>
      </c>
      <c r="B51" s="43" t="n"/>
      <c r="C51" s="43" t="inlineStr">
        <is>
          <t>Chưa xác nhận</t>
        </is>
      </c>
      <c r="D51" s="128">
        <f>IF(B51="","",IFERROR(VLOOKUP(B51,'02_Lo_trinh'!$A$7:$N$11,6,FALSE),""))</f>
        <v/>
      </c>
      <c r="E51" s="132" t="n"/>
      <c r="F51" s="132" t="n"/>
      <c r="G51" s="132" t="n"/>
      <c r="H51" s="132" t="n"/>
      <c r="I51" s="128">
        <f>IF(COUNT(E51:H51)=0,"",SUM(E51:H51))</f>
        <v/>
      </c>
      <c r="J51" s="132" t="n"/>
      <c r="K51" s="128">
        <f>IF(OR(S51&lt;&gt;1,NOT(ISNUMBER(J51)),J51&lt;0,J51&gt;I51),"",IF(B51="G4",IF(ISNUMBER('01_Thiet_lap'!$D$24),MAX(0,'01_Thiet_lap'!$D$24-J51),""),MAX(0,'01_Thiet_lap'!$D$10-J51)))</f>
        <v/>
      </c>
      <c r="L51" s="128">
        <f>IF(AND(ISNUMBER(I51),ISNUMBER(D51)),D51-I51,"")</f>
        <v/>
      </c>
      <c r="M51" s="132" t="n"/>
      <c r="N51" s="128">
        <f>IF(AND(ISNUMBER(I51),ISNUMBER(M51)),I51+M51,"")</f>
        <v/>
      </c>
      <c r="O51" s="38">
        <f>IF(B51="","",IFERROR(VLOOKUP(B51,'02_Lo_trinh'!$A$7:$N$11,10,FALSE),"Cần chọn lại giai đoạn"))</f>
        <v/>
      </c>
      <c r="P51" s="38">
        <f>IF(COUNT(E51:H51,M51)=0,"",IF(NOT(ISNUMBER(A51)),"Cần cập nhật ngày",IF(COUNTIF('02_Lo_trinh'!$A$7:$A$11,B51)&lt;&gt;1,"Cần chọn giai đoạn",IF(COUNTIF($A$7:$A$96,A51)&gt;1,"Cần rà soát ngày trùng",IF(COUNT(E51:H51)&lt;4,"Cần nhập đủ 4 khoản chi",IF(MIN(E51:H51)&lt;0,"Cần rà soát khoản chi âm",IF(O51&lt;&gt;"Đã phê duyệt","Cần đối chiếu phê duyệt",IF(NOT(ISNUMBER(J51)),"Cần ghi phần dự phòng",IF(OR(J51&lt;0,J51&gt;I51),"Cần rà soát số tiền dự phòng",IF(AND(B51="G4",NOT(ISNUMBER('01_Thiet_lap'!$D$24))),"Cần chốt dự phòng cấp 2",IF(AND(B51&lt;&gt;"G4",J51&gt;'01_Thiet_lap'!$D$10),"Cần rà soát mức dự phòng",IF(AND(B51="G4",ISNUMBER('01_Thiet_lap'!$D$24),J51&gt;'01_Thiet_lap'!$D$24),"Cần rà soát dự phòng cấp 2",IF(AND(J51&gt;0,Q51=""),"Cần bổ sung lý do dùng dự phòng",IF(C51&lt;&gt;"Hợp lệ","Chi phát sinh ngoài ngày hợp lệ",IF(NOT(ISNUMBER(M51)),"Chờ xác nhận thuế/phí",IF(I51&gt;D51,"Cần rà soát mức chi trong ngày","Đã ghi nhận"))))))))))))))))</f>
        <v/>
      </c>
      <c r="Q51" s="43" t="n"/>
      <c r="R51" s="43" t="n"/>
      <c r="S51" s="129">
        <f>IF(AND(ISNUMBER(A51),COUNTIF('02_Lo_trinh'!$A$7:$A$11,B51)=1,C51="Hợp lệ",COUNT(E51:H51)=4,I51&gt;0,COUNTIF($A$7:$A$96,A51)=1),1,0)</f>
        <v/>
      </c>
    </row>
    <row r="52" ht="38" customHeight="1">
      <c r="A52" s="130" t="inlineStr">
        <is>
          <t>[Chưa chốt]</t>
        </is>
      </c>
      <c r="B52" s="43" t="n"/>
      <c r="C52" s="43" t="inlineStr">
        <is>
          <t>Chưa xác nhận</t>
        </is>
      </c>
      <c r="D52" s="128">
        <f>IF(B52="","",IFERROR(VLOOKUP(B52,'02_Lo_trinh'!$A$7:$N$11,6,FALSE),""))</f>
        <v/>
      </c>
      <c r="E52" s="132" t="n"/>
      <c r="F52" s="132" t="n"/>
      <c r="G52" s="132" t="n"/>
      <c r="H52" s="132" t="n"/>
      <c r="I52" s="128">
        <f>IF(COUNT(E52:H52)=0,"",SUM(E52:H52))</f>
        <v/>
      </c>
      <c r="J52" s="132" t="n"/>
      <c r="K52" s="128">
        <f>IF(OR(S52&lt;&gt;1,NOT(ISNUMBER(J52)),J52&lt;0,J52&gt;I52),"",IF(B52="G4",IF(ISNUMBER('01_Thiet_lap'!$D$24),MAX(0,'01_Thiet_lap'!$D$24-J52),""),MAX(0,'01_Thiet_lap'!$D$10-J52)))</f>
        <v/>
      </c>
      <c r="L52" s="128">
        <f>IF(AND(ISNUMBER(I52),ISNUMBER(D52)),D52-I52,"")</f>
        <v/>
      </c>
      <c r="M52" s="132" t="n"/>
      <c r="N52" s="128">
        <f>IF(AND(ISNUMBER(I52),ISNUMBER(M52)),I52+M52,"")</f>
        <v/>
      </c>
      <c r="O52" s="38">
        <f>IF(B52="","",IFERROR(VLOOKUP(B52,'02_Lo_trinh'!$A$7:$N$11,10,FALSE),"Cần chọn lại giai đoạn"))</f>
        <v/>
      </c>
      <c r="P52" s="38">
        <f>IF(COUNT(E52:H52,M52)=0,"",IF(NOT(ISNUMBER(A52)),"Cần cập nhật ngày",IF(COUNTIF('02_Lo_trinh'!$A$7:$A$11,B52)&lt;&gt;1,"Cần chọn giai đoạn",IF(COUNTIF($A$7:$A$96,A52)&gt;1,"Cần rà soát ngày trùng",IF(COUNT(E52:H52)&lt;4,"Cần nhập đủ 4 khoản chi",IF(MIN(E52:H52)&lt;0,"Cần rà soát khoản chi âm",IF(O52&lt;&gt;"Đã phê duyệt","Cần đối chiếu phê duyệt",IF(NOT(ISNUMBER(J52)),"Cần ghi phần dự phòng",IF(OR(J52&lt;0,J52&gt;I52),"Cần rà soát số tiền dự phòng",IF(AND(B52="G4",NOT(ISNUMBER('01_Thiet_lap'!$D$24))),"Cần chốt dự phòng cấp 2",IF(AND(B52&lt;&gt;"G4",J52&gt;'01_Thiet_lap'!$D$10),"Cần rà soát mức dự phòng",IF(AND(B52="G4",ISNUMBER('01_Thiet_lap'!$D$24),J52&gt;'01_Thiet_lap'!$D$24),"Cần rà soát dự phòng cấp 2",IF(AND(J52&gt;0,Q52=""),"Cần bổ sung lý do dùng dự phòng",IF(C52&lt;&gt;"Hợp lệ","Chi phát sinh ngoài ngày hợp lệ",IF(NOT(ISNUMBER(M52)),"Chờ xác nhận thuế/phí",IF(I52&gt;D52,"Cần rà soát mức chi trong ngày","Đã ghi nhận"))))))))))))))))</f>
        <v/>
      </c>
      <c r="Q52" s="43" t="n"/>
      <c r="R52" s="43" t="n"/>
      <c r="S52" s="129">
        <f>IF(AND(ISNUMBER(A52),COUNTIF('02_Lo_trinh'!$A$7:$A$11,B52)=1,C52="Hợp lệ",COUNT(E52:H52)=4,I52&gt;0,COUNTIF($A$7:$A$96,A52)=1),1,0)</f>
        <v/>
      </c>
    </row>
    <row r="53" ht="38" customHeight="1">
      <c r="A53" s="130" t="inlineStr">
        <is>
          <t>[Chưa chốt]</t>
        </is>
      </c>
      <c r="B53" s="43" t="n"/>
      <c r="C53" s="43" t="inlineStr">
        <is>
          <t>Chưa xác nhận</t>
        </is>
      </c>
      <c r="D53" s="128">
        <f>IF(B53="","",IFERROR(VLOOKUP(B53,'02_Lo_trinh'!$A$7:$N$11,6,FALSE),""))</f>
        <v/>
      </c>
      <c r="E53" s="132" t="n"/>
      <c r="F53" s="132" t="n"/>
      <c r="G53" s="132" t="n"/>
      <c r="H53" s="132" t="n"/>
      <c r="I53" s="128">
        <f>IF(COUNT(E53:H53)=0,"",SUM(E53:H53))</f>
        <v/>
      </c>
      <c r="J53" s="132" t="n"/>
      <c r="K53" s="128">
        <f>IF(OR(S53&lt;&gt;1,NOT(ISNUMBER(J53)),J53&lt;0,J53&gt;I53),"",IF(B53="G4",IF(ISNUMBER('01_Thiet_lap'!$D$24),MAX(0,'01_Thiet_lap'!$D$24-J53),""),MAX(0,'01_Thiet_lap'!$D$10-J53)))</f>
        <v/>
      </c>
      <c r="L53" s="128">
        <f>IF(AND(ISNUMBER(I53),ISNUMBER(D53)),D53-I53,"")</f>
        <v/>
      </c>
      <c r="M53" s="132" t="n"/>
      <c r="N53" s="128">
        <f>IF(AND(ISNUMBER(I53),ISNUMBER(M53)),I53+M53,"")</f>
        <v/>
      </c>
      <c r="O53" s="38">
        <f>IF(B53="","",IFERROR(VLOOKUP(B53,'02_Lo_trinh'!$A$7:$N$11,10,FALSE),"Cần chọn lại giai đoạn"))</f>
        <v/>
      </c>
      <c r="P53" s="38">
        <f>IF(COUNT(E53:H53,M53)=0,"",IF(NOT(ISNUMBER(A53)),"Cần cập nhật ngày",IF(COUNTIF('02_Lo_trinh'!$A$7:$A$11,B53)&lt;&gt;1,"Cần chọn giai đoạn",IF(COUNTIF($A$7:$A$96,A53)&gt;1,"Cần rà soát ngày trùng",IF(COUNT(E53:H53)&lt;4,"Cần nhập đủ 4 khoản chi",IF(MIN(E53:H53)&lt;0,"Cần rà soát khoản chi âm",IF(O53&lt;&gt;"Đã phê duyệt","Cần đối chiếu phê duyệt",IF(NOT(ISNUMBER(J53)),"Cần ghi phần dự phòng",IF(OR(J53&lt;0,J53&gt;I53),"Cần rà soát số tiền dự phòng",IF(AND(B53="G4",NOT(ISNUMBER('01_Thiet_lap'!$D$24))),"Cần chốt dự phòng cấp 2",IF(AND(B53&lt;&gt;"G4",J53&gt;'01_Thiet_lap'!$D$10),"Cần rà soát mức dự phòng",IF(AND(B53="G4",ISNUMBER('01_Thiet_lap'!$D$24),J53&gt;'01_Thiet_lap'!$D$24),"Cần rà soát dự phòng cấp 2",IF(AND(J53&gt;0,Q53=""),"Cần bổ sung lý do dùng dự phòng",IF(C53&lt;&gt;"Hợp lệ","Chi phát sinh ngoài ngày hợp lệ",IF(NOT(ISNUMBER(M53)),"Chờ xác nhận thuế/phí",IF(I53&gt;D53,"Cần rà soát mức chi trong ngày","Đã ghi nhận"))))))))))))))))</f>
        <v/>
      </c>
      <c r="Q53" s="43" t="n"/>
      <c r="R53" s="43" t="n"/>
      <c r="S53" s="129">
        <f>IF(AND(ISNUMBER(A53),COUNTIF('02_Lo_trinh'!$A$7:$A$11,B53)=1,C53="Hợp lệ",COUNT(E53:H53)=4,I53&gt;0,COUNTIF($A$7:$A$96,A53)=1),1,0)</f>
        <v/>
      </c>
    </row>
    <row r="54" ht="38" customHeight="1">
      <c r="A54" s="130" t="inlineStr">
        <is>
          <t>[Chưa chốt]</t>
        </is>
      </c>
      <c r="B54" s="43" t="n"/>
      <c r="C54" s="43" t="inlineStr">
        <is>
          <t>Chưa xác nhận</t>
        </is>
      </c>
      <c r="D54" s="128">
        <f>IF(B54="","",IFERROR(VLOOKUP(B54,'02_Lo_trinh'!$A$7:$N$11,6,FALSE),""))</f>
        <v/>
      </c>
      <c r="E54" s="132" t="n"/>
      <c r="F54" s="132" t="n"/>
      <c r="G54" s="132" t="n"/>
      <c r="H54" s="132" t="n"/>
      <c r="I54" s="128">
        <f>IF(COUNT(E54:H54)=0,"",SUM(E54:H54))</f>
        <v/>
      </c>
      <c r="J54" s="132" t="n"/>
      <c r="K54" s="128">
        <f>IF(OR(S54&lt;&gt;1,NOT(ISNUMBER(J54)),J54&lt;0,J54&gt;I54),"",IF(B54="G4",IF(ISNUMBER('01_Thiet_lap'!$D$24),MAX(0,'01_Thiet_lap'!$D$24-J54),""),MAX(0,'01_Thiet_lap'!$D$10-J54)))</f>
        <v/>
      </c>
      <c r="L54" s="128">
        <f>IF(AND(ISNUMBER(I54),ISNUMBER(D54)),D54-I54,"")</f>
        <v/>
      </c>
      <c r="M54" s="132" t="n"/>
      <c r="N54" s="128">
        <f>IF(AND(ISNUMBER(I54),ISNUMBER(M54)),I54+M54,"")</f>
        <v/>
      </c>
      <c r="O54" s="38">
        <f>IF(B54="","",IFERROR(VLOOKUP(B54,'02_Lo_trinh'!$A$7:$N$11,10,FALSE),"Cần chọn lại giai đoạn"))</f>
        <v/>
      </c>
      <c r="P54" s="38">
        <f>IF(COUNT(E54:H54,M54)=0,"",IF(NOT(ISNUMBER(A54)),"Cần cập nhật ngày",IF(COUNTIF('02_Lo_trinh'!$A$7:$A$11,B54)&lt;&gt;1,"Cần chọn giai đoạn",IF(COUNTIF($A$7:$A$96,A54)&gt;1,"Cần rà soát ngày trùng",IF(COUNT(E54:H54)&lt;4,"Cần nhập đủ 4 khoản chi",IF(MIN(E54:H54)&lt;0,"Cần rà soát khoản chi âm",IF(O54&lt;&gt;"Đã phê duyệt","Cần đối chiếu phê duyệt",IF(NOT(ISNUMBER(J54)),"Cần ghi phần dự phòng",IF(OR(J54&lt;0,J54&gt;I54),"Cần rà soát số tiền dự phòng",IF(AND(B54="G4",NOT(ISNUMBER('01_Thiet_lap'!$D$24))),"Cần chốt dự phòng cấp 2",IF(AND(B54&lt;&gt;"G4",J54&gt;'01_Thiet_lap'!$D$10),"Cần rà soát mức dự phòng",IF(AND(B54="G4",ISNUMBER('01_Thiet_lap'!$D$24),J54&gt;'01_Thiet_lap'!$D$24),"Cần rà soát dự phòng cấp 2",IF(AND(J54&gt;0,Q54=""),"Cần bổ sung lý do dùng dự phòng",IF(C54&lt;&gt;"Hợp lệ","Chi phát sinh ngoài ngày hợp lệ",IF(NOT(ISNUMBER(M54)),"Chờ xác nhận thuế/phí",IF(I54&gt;D54,"Cần rà soát mức chi trong ngày","Đã ghi nhận"))))))))))))))))</f>
        <v/>
      </c>
      <c r="Q54" s="43" t="n"/>
      <c r="R54" s="43" t="n"/>
      <c r="S54" s="129">
        <f>IF(AND(ISNUMBER(A54),COUNTIF('02_Lo_trinh'!$A$7:$A$11,B54)=1,C54="Hợp lệ",COUNT(E54:H54)=4,I54&gt;0,COUNTIF($A$7:$A$96,A54)=1),1,0)</f>
        <v/>
      </c>
    </row>
    <row r="55" ht="38" customHeight="1">
      <c r="A55" s="130" t="inlineStr">
        <is>
          <t>[Chưa chốt]</t>
        </is>
      </c>
      <c r="B55" s="43" t="n"/>
      <c r="C55" s="43" t="inlineStr">
        <is>
          <t>Chưa xác nhận</t>
        </is>
      </c>
      <c r="D55" s="128">
        <f>IF(B55="","",IFERROR(VLOOKUP(B55,'02_Lo_trinh'!$A$7:$N$11,6,FALSE),""))</f>
        <v/>
      </c>
      <c r="E55" s="132" t="n"/>
      <c r="F55" s="132" t="n"/>
      <c r="G55" s="132" t="n"/>
      <c r="H55" s="132" t="n"/>
      <c r="I55" s="128">
        <f>IF(COUNT(E55:H55)=0,"",SUM(E55:H55))</f>
        <v/>
      </c>
      <c r="J55" s="132" t="n"/>
      <c r="K55" s="128">
        <f>IF(OR(S55&lt;&gt;1,NOT(ISNUMBER(J55)),J55&lt;0,J55&gt;I55),"",IF(B55="G4",IF(ISNUMBER('01_Thiet_lap'!$D$24),MAX(0,'01_Thiet_lap'!$D$24-J55),""),MAX(0,'01_Thiet_lap'!$D$10-J55)))</f>
        <v/>
      </c>
      <c r="L55" s="128">
        <f>IF(AND(ISNUMBER(I55),ISNUMBER(D55)),D55-I55,"")</f>
        <v/>
      </c>
      <c r="M55" s="132" t="n"/>
      <c r="N55" s="128">
        <f>IF(AND(ISNUMBER(I55),ISNUMBER(M55)),I55+M55,"")</f>
        <v/>
      </c>
      <c r="O55" s="38">
        <f>IF(B55="","",IFERROR(VLOOKUP(B55,'02_Lo_trinh'!$A$7:$N$11,10,FALSE),"Cần chọn lại giai đoạn"))</f>
        <v/>
      </c>
      <c r="P55" s="38">
        <f>IF(COUNT(E55:H55,M55)=0,"",IF(NOT(ISNUMBER(A55)),"Cần cập nhật ngày",IF(COUNTIF('02_Lo_trinh'!$A$7:$A$11,B55)&lt;&gt;1,"Cần chọn giai đoạn",IF(COUNTIF($A$7:$A$96,A55)&gt;1,"Cần rà soát ngày trùng",IF(COUNT(E55:H55)&lt;4,"Cần nhập đủ 4 khoản chi",IF(MIN(E55:H55)&lt;0,"Cần rà soát khoản chi âm",IF(O55&lt;&gt;"Đã phê duyệt","Cần đối chiếu phê duyệt",IF(NOT(ISNUMBER(J55)),"Cần ghi phần dự phòng",IF(OR(J55&lt;0,J55&gt;I55),"Cần rà soát số tiền dự phòng",IF(AND(B55="G4",NOT(ISNUMBER('01_Thiet_lap'!$D$24))),"Cần chốt dự phòng cấp 2",IF(AND(B55&lt;&gt;"G4",J55&gt;'01_Thiet_lap'!$D$10),"Cần rà soát mức dự phòng",IF(AND(B55="G4",ISNUMBER('01_Thiet_lap'!$D$24),J55&gt;'01_Thiet_lap'!$D$24),"Cần rà soát dự phòng cấp 2",IF(AND(J55&gt;0,Q55=""),"Cần bổ sung lý do dùng dự phòng",IF(C55&lt;&gt;"Hợp lệ","Chi phát sinh ngoài ngày hợp lệ",IF(NOT(ISNUMBER(M55)),"Chờ xác nhận thuế/phí",IF(I55&gt;D55,"Cần rà soát mức chi trong ngày","Đã ghi nhận"))))))))))))))))</f>
        <v/>
      </c>
      <c r="Q55" s="43" t="n"/>
      <c r="R55" s="43" t="n"/>
      <c r="S55" s="129">
        <f>IF(AND(ISNUMBER(A55),COUNTIF('02_Lo_trinh'!$A$7:$A$11,B55)=1,C55="Hợp lệ",COUNT(E55:H55)=4,I55&gt;0,COUNTIF($A$7:$A$96,A55)=1),1,0)</f>
        <v/>
      </c>
    </row>
    <row r="56" ht="38" customHeight="1">
      <c r="A56" s="130" t="inlineStr">
        <is>
          <t>[Chưa chốt]</t>
        </is>
      </c>
      <c r="B56" s="43" t="n"/>
      <c r="C56" s="43" t="inlineStr">
        <is>
          <t>Chưa xác nhận</t>
        </is>
      </c>
      <c r="D56" s="128">
        <f>IF(B56="","",IFERROR(VLOOKUP(B56,'02_Lo_trinh'!$A$7:$N$11,6,FALSE),""))</f>
        <v/>
      </c>
      <c r="E56" s="132" t="n"/>
      <c r="F56" s="132" t="n"/>
      <c r="G56" s="132" t="n"/>
      <c r="H56" s="132" t="n"/>
      <c r="I56" s="128">
        <f>IF(COUNT(E56:H56)=0,"",SUM(E56:H56))</f>
        <v/>
      </c>
      <c r="J56" s="132" t="n"/>
      <c r="K56" s="128">
        <f>IF(OR(S56&lt;&gt;1,NOT(ISNUMBER(J56)),J56&lt;0,J56&gt;I56),"",IF(B56="G4",IF(ISNUMBER('01_Thiet_lap'!$D$24),MAX(0,'01_Thiet_lap'!$D$24-J56),""),MAX(0,'01_Thiet_lap'!$D$10-J56)))</f>
        <v/>
      </c>
      <c r="L56" s="128">
        <f>IF(AND(ISNUMBER(I56),ISNUMBER(D56)),D56-I56,"")</f>
        <v/>
      </c>
      <c r="M56" s="132" t="n"/>
      <c r="N56" s="128">
        <f>IF(AND(ISNUMBER(I56),ISNUMBER(M56)),I56+M56,"")</f>
        <v/>
      </c>
      <c r="O56" s="38">
        <f>IF(B56="","",IFERROR(VLOOKUP(B56,'02_Lo_trinh'!$A$7:$N$11,10,FALSE),"Cần chọn lại giai đoạn"))</f>
        <v/>
      </c>
      <c r="P56" s="38">
        <f>IF(COUNT(E56:H56,M56)=0,"",IF(NOT(ISNUMBER(A56)),"Cần cập nhật ngày",IF(COUNTIF('02_Lo_trinh'!$A$7:$A$11,B56)&lt;&gt;1,"Cần chọn giai đoạn",IF(COUNTIF($A$7:$A$96,A56)&gt;1,"Cần rà soát ngày trùng",IF(COUNT(E56:H56)&lt;4,"Cần nhập đủ 4 khoản chi",IF(MIN(E56:H56)&lt;0,"Cần rà soát khoản chi âm",IF(O56&lt;&gt;"Đã phê duyệt","Cần đối chiếu phê duyệt",IF(NOT(ISNUMBER(J56)),"Cần ghi phần dự phòng",IF(OR(J56&lt;0,J56&gt;I56),"Cần rà soát số tiền dự phòng",IF(AND(B56="G4",NOT(ISNUMBER('01_Thiet_lap'!$D$24))),"Cần chốt dự phòng cấp 2",IF(AND(B56&lt;&gt;"G4",J56&gt;'01_Thiet_lap'!$D$10),"Cần rà soát mức dự phòng",IF(AND(B56="G4",ISNUMBER('01_Thiet_lap'!$D$24),J56&gt;'01_Thiet_lap'!$D$24),"Cần rà soát dự phòng cấp 2",IF(AND(J56&gt;0,Q56=""),"Cần bổ sung lý do dùng dự phòng",IF(C56&lt;&gt;"Hợp lệ","Chi phát sinh ngoài ngày hợp lệ",IF(NOT(ISNUMBER(M56)),"Chờ xác nhận thuế/phí",IF(I56&gt;D56,"Cần rà soát mức chi trong ngày","Đã ghi nhận"))))))))))))))))</f>
        <v/>
      </c>
      <c r="Q56" s="43" t="n"/>
      <c r="R56" s="43" t="n"/>
      <c r="S56" s="129">
        <f>IF(AND(ISNUMBER(A56),COUNTIF('02_Lo_trinh'!$A$7:$A$11,B56)=1,C56="Hợp lệ",COUNT(E56:H56)=4,I56&gt;0,COUNTIF($A$7:$A$96,A56)=1),1,0)</f>
        <v/>
      </c>
    </row>
    <row r="57" ht="38" customHeight="1">
      <c r="A57" s="130" t="inlineStr">
        <is>
          <t>[Chưa chốt]</t>
        </is>
      </c>
      <c r="B57" s="43" t="n"/>
      <c r="C57" s="43" t="inlineStr">
        <is>
          <t>Chưa xác nhận</t>
        </is>
      </c>
      <c r="D57" s="128">
        <f>IF(B57="","",IFERROR(VLOOKUP(B57,'02_Lo_trinh'!$A$7:$N$11,6,FALSE),""))</f>
        <v/>
      </c>
      <c r="E57" s="132" t="n"/>
      <c r="F57" s="132" t="n"/>
      <c r="G57" s="132" t="n"/>
      <c r="H57" s="132" t="n"/>
      <c r="I57" s="128">
        <f>IF(COUNT(E57:H57)=0,"",SUM(E57:H57))</f>
        <v/>
      </c>
      <c r="J57" s="132" t="n"/>
      <c r="K57" s="128">
        <f>IF(OR(S57&lt;&gt;1,NOT(ISNUMBER(J57)),J57&lt;0,J57&gt;I57),"",IF(B57="G4",IF(ISNUMBER('01_Thiet_lap'!$D$24),MAX(0,'01_Thiet_lap'!$D$24-J57),""),MAX(0,'01_Thiet_lap'!$D$10-J57)))</f>
        <v/>
      </c>
      <c r="L57" s="128">
        <f>IF(AND(ISNUMBER(I57),ISNUMBER(D57)),D57-I57,"")</f>
        <v/>
      </c>
      <c r="M57" s="132" t="n"/>
      <c r="N57" s="128">
        <f>IF(AND(ISNUMBER(I57),ISNUMBER(M57)),I57+M57,"")</f>
        <v/>
      </c>
      <c r="O57" s="38">
        <f>IF(B57="","",IFERROR(VLOOKUP(B57,'02_Lo_trinh'!$A$7:$N$11,10,FALSE),"Cần chọn lại giai đoạn"))</f>
        <v/>
      </c>
      <c r="P57" s="38">
        <f>IF(COUNT(E57:H57,M57)=0,"",IF(NOT(ISNUMBER(A57)),"Cần cập nhật ngày",IF(COUNTIF('02_Lo_trinh'!$A$7:$A$11,B57)&lt;&gt;1,"Cần chọn giai đoạn",IF(COUNTIF($A$7:$A$96,A57)&gt;1,"Cần rà soát ngày trùng",IF(COUNT(E57:H57)&lt;4,"Cần nhập đủ 4 khoản chi",IF(MIN(E57:H57)&lt;0,"Cần rà soát khoản chi âm",IF(O57&lt;&gt;"Đã phê duyệt","Cần đối chiếu phê duyệt",IF(NOT(ISNUMBER(J57)),"Cần ghi phần dự phòng",IF(OR(J57&lt;0,J57&gt;I57),"Cần rà soát số tiền dự phòng",IF(AND(B57="G4",NOT(ISNUMBER('01_Thiet_lap'!$D$24))),"Cần chốt dự phòng cấp 2",IF(AND(B57&lt;&gt;"G4",J57&gt;'01_Thiet_lap'!$D$10),"Cần rà soát mức dự phòng",IF(AND(B57="G4",ISNUMBER('01_Thiet_lap'!$D$24),J57&gt;'01_Thiet_lap'!$D$24),"Cần rà soát dự phòng cấp 2",IF(AND(J57&gt;0,Q57=""),"Cần bổ sung lý do dùng dự phòng",IF(C57&lt;&gt;"Hợp lệ","Chi phát sinh ngoài ngày hợp lệ",IF(NOT(ISNUMBER(M57)),"Chờ xác nhận thuế/phí",IF(I57&gt;D57,"Cần rà soát mức chi trong ngày","Đã ghi nhận"))))))))))))))))</f>
        <v/>
      </c>
      <c r="Q57" s="43" t="n"/>
      <c r="R57" s="43" t="n"/>
      <c r="S57" s="129">
        <f>IF(AND(ISNUMBER(A57),COUNTIF('02_Lo_trinh'!$A$7:$A$11,B57)=1,C57="Hợp lệ",COUNT(E57:H57)=4,I57&gt;0,COUNTIF($A$7:$A$96,A57)=1),1,0)</f>
        <v/>
      </c>
    </row>
    <row r="58" ht="38" customHeight="1">
      <c r="A58" s="130" t="inlineStr">
        <is>
          <t>[Chưa chốt]</t>
        </is>
      </c>
      <c r="B58" s="43" t="n"/>
      <c r="C58" s="43" t="inlineStr">
        <is>
          <t>Chưa xác nhận</t>
        </is>
      </c>
      <c r="D58" s="128">
        <f>IF(B58="","",IFERROR(VLOOKUP(B58,'02_Lo_trinh'!$A$7:$N$11,6,FALSE),""))</f>
        <v/>
      </c>
      <c r="E58" s="132" t="n"/>
      <c r="F58" s="132" t="n"/>
      <c r="G58" s="132" t="n"/>
      <c r="H58" s="132" t="n"/>
      <c r="I58" s="128">
        <f>IF(COUNT(E58:H58)=0,"",SUM(E58:H58))</f>
        <v/>
      </c>
      <c r="J58" s="132" t="n"/>
      <c r="K58" s="128">
        <f>IF(OR(S58&lt;&gt;1,NOT(ISNUMBER(J58)),J58&lt;0,J58&gt;I58),"",IF(B58="G4",IF(ISNUMBER('01_Thiet_lap'!$D$24),MAX(0,'01_Thiet_lap'!$D$24-J58),""),MAX(0,'01_Thiet_lap'!$D$10-J58)))</f>
        <v/>
      </c>
      <c r="L58" s="128">
        <f>IF(AND(ISNUMBER(I58),ISNUMBER(D58)),D58-I58,"")</f>
        <v/>
      </c>
      <c r="M58" s="132" t="n"/>
      <c r="N58" s="128">
        <f>IF(AND(ISNUMBER(I58),ISNUMBER(M58)),I58+M58,"")</f>
        <v/>
      </c>
      <c r="O58" s="38">
        <f>IF(B58="","",IFERROR(VLOOKUP(B58,'02_Lo_trinh'!$A$7:$N$11,10,FALSE),"Cần chọn lại giai đoạn"))</f>
        <v/>
      </c>
      <c r="P58" s="38">
        <f>IF(COUNT(E58:H58,M58)=0,"",IF(NOT(ISNUMBER(A58)),"Cần cập nhật ngày",IF(COUNTIF('02_Lo_trinh'!$A$7:$A$11,B58)&lt;&gt;1,"Cần chọn giai đoạn",IF(COUNTIF($A$7:$A$96,A58)&gt;1,"Cần rà soát ngày trùng",IF(COUNT(E58:H58)&lt;4,"Cần nhập đủ 4 khoản chi",IF(MIN(E58:H58)&lt;0,"Cần rà soát khoản chi âm",IF(O58&lt;&gt;"Đã phê duyệt","Cần đối chiếu phê duyệt",IF(NOT(ISNUMBER(J58)),"Cần ghi phần dự phòng",IF(OR(J58&lt;0,J58&gt;I58),"Cần rà soát số tiền dự phòng",IF(AND(B58="G4",NOT(ISNUMBER('01_Thiet_lap'!$D$24))),"Cần chốt dự phòng cấp 2",IF(AND(B58&lt;&gt;"G4",J58&gt;'01_Thiet_lap'!$D$10),"Cần rà soát mức dự phòng",IF(AND(B58="G4",ISNUMBER('01_Thiet_lap'!$D$24),J58&gt;'01_Thiet_lap'!$D$24),"Cần rà soát dự phòng cấp 2",IF(AND(J58&gt;0,Q58=""),"Cần bổ sung lý do dùng dự phòng",IF(C58&lt;&gt;"Hợp lệ","Chi phát sinh ngoài ngày hợp lệ",IF(NOT(ISNUMBER(M58)),"Chờ xác nhận thuế/phí",IF(I58&gt;D58,"Cần rà soát mức chi trong ngày","Đã ghi nhận"))))))))))))))))</f>
        <v/>
      </c>
      <c r="Q58" s="43" t="n"/>
      <c r="R58" s="43" t="n"/>
      <c r="S58" s="129">
        <f>IF(AND(ISNUMBER(A58),COUNTIF('02_Lo_trinh'!$A$7:$A$11,B58)=1,C58="Hợp lệ",COUNT(E58:H58)=4,I58&gt;0,COUNTIF($A$7:$A$96,A58)=1),1,0)</f>
        <v/>
      </c>
    </row>
    <row r="59" ht="38" customHeight="1">
      <c r="A59" s="130" t="inlineStr">
        <is>
          <t>[Chưa chốt]</t>
        </is>
      </c>
      <c r="B59" s="43" t="n"/>
      <c r="C59" s="43" t="inlineStr">
        <is>
          <t>Chưa xác nhận</t>
        </is>
      </c>
      <c r="D59" s="128">
        <f>IF(B59="","",IFERROR(VLOOKUP(B59,'02_Lo_trinh'!$A$7:$N$11,6,FALSE),""))</f>
        <v/>
      </c>
      <c r="E59" s="132" t="n"/>
      <c r="F59" s="132" t="n"/>
      <c r="G59" s="132" t="n"/>
      <c r="H59" s="132" t="n"/>
      <c r="I59" s="128">
        <f>IF(COUNT(E59:H59)=0,"",SUM(E59:H59))</f>
        <v/>
      </c>
      <c r="J59" s="132" t="n"/>
      <c r="K59" s="128">
        <f>IF(OR(S59&lt;&gt;1,NOT(ISNUMBER(J59)),J59&lt;0,J59&gt;I59),"",IF(B59="G4",IF(ISNUMBER('01_Thiet_lap'!$D$24),MAX(0,'01_Thiet_lap'!$D$24-J59),""),MAX(0,'01_Thiet_lap'!$D$10-J59)))</f>
        <v/>
      </c>
      <c r="L59" s="128">
        <f>IF(AND(ISNUMBER(I59),ISNUMBER(D59)),D59-I59,"")</f>
        <v/>
      </c>
      <c r="M59" s="132" t="n"/>
      <c r="N59" s="128">
        <f>IF(AND(ISNUMBER(I59),ISNUMBER(M59)),I59+M59,"")</f>
        <v/>
      </c>
      <c r="O59" s="38">
        <f>IF(B59="","",IFERROR(VLOOKUP(B59,'02_Lo_trinh'!$A$7:$N$11,10,FALSE),"Cần chọn lại giai đoạn"))</f>
        <v/>
      </c>
      <c r="P59" s="38">
        <f>IF(COUNT(E59:H59,M59)=0,"",IF(NOT(ISNUMBER(A59)),"Cần cập nhật ngày",IF(COUNTIF('02_Lo_trinh'!$A$7:$A$11,B59)&lt;&gt;1,"Cần chọn giai đoạn",IF(COUNTIF($A$7:$A$96,A59)&gt;1,"Cần rà soát ngày trùng",IF(COUNT(E59:H59)&lt;4,"Cần nhập đủ 4 khoản chi",IF(MIN(E59:H59)&lt;0,"Cần rà soát khoản chi âm",IF(O59&lt;&gt;"Đã phê duyệt","Cần đối chiếu phê duyệt",IF(NOT(ISNUMBER(J59)),"Cần ghi phần dự phòng",IF(OR(J59&lt;0,J59&gt;I59),"Cần rà soát số tiền dự phòng",IF(AND(B59="G4",NOT(ISNUMBER('01_Thiet_lap'!$D$24))),"Cần chốt dự phòng cấp 2",IF(AND(B59&lt;&gt;"G4",J59&gt;'01_Thiet_lap'!$D$10),"Cần rà soát mức dự phòng",IF(AND(B59="G4",ISNUMBER('01_Thiet_lap'!$D$24),J59&gt;'01_Thiet_lap'!$D$24),"Cần rà soát dự phòng cấp 2",IF(AND(J59&gt;0,Q59=""),"Cần bổ sung lý do dùng dự phòng",IF(C59&lt;&gt;"Hợp lệ","Chi phát sinh ngoài ngày hợp lệ",IF(NOT(ISNUMBER(M59)),"Chờ xác nhận thuế/phí",IF(I59&gt;D59,"Cần rà soát mức chi trong ngày","Đã ghi nhận"))))))))))))))))</f>
        <v/>
      </c>
      <c r="Q59" s="43" t="n"/>
      <c r="R59" s="43" t="n"/>
      <c r="S59" s="129">
        <f>IF(AND(ISNUMBER(A59),COUNTIF('02_Lo_trinh'!$A$7:$A$11,B59)=1,C59="Hợp lệ",COUNT(E59:H59)=4,I59&gt;0,COUNTIF($A$7:$A$96,A59)=1),1,0)</f>
        <v/>
      </c>
    </row>
    <row r="60" ht="38" customHeight="1">
      <c r="A60" s="130" t="inlineStr">
        <is>
          <t>[Chưa chốt]</t>
        </is>
      </c>
      <c r="B60" s="43" t="n"/>
      <c r="C60" s="43" t="inlineStr">
        <is>
          <t>Chưa xác nhận</t>
        </is>
      </c>
      <c r="D60" s="128">
        <f>IF(B60="","",IFERROR(VLOOKUP(B60,'02_Lo_trinh'!$A$7:$N$11,6,FALSE),""))</f>
        <v/>
      </c>
      <c r="E60" s="132" t="n"/>
      <c r="F60" s="132" t="n"/>
      <c r="G60" s="132" t="n"/>
      <c r="H60" s="132" t="n"/>
      <c r="I60" s="128">
        <f>IF(COUNT(E60:H60)=0,"",SUM(E60:H60))</f>
        <v/>
      </c>
      <c r="J60" s="132" t="n"/>
      <c r="K60" s="128">
        <f>IF(OR(S60&lt;&gt;1,NOT(ISNUMBER(J60)),J60&lt;0,J60&gt;I60),"",IF(B60="G4",IF(ISNUMBER('01_Thiet_lap'!$D$24),MAX(0,'01_Thiet_lap'!$D$24-J60),""),MAX(0,'01_Thiet_lap'!$D$10-J60)))</f>
        <v/>
      </c>
      <c r="L60" s="128">
        <f>IF(AND(ISNUMBER(I60),ISNUMBER(D60)),D60-I60,"")</f>
        <v/>
      </c>
      <c r="M60" s="132" t="n"/>
      <c r="N60" s="128">
        <f>IF(AND(ISNUMBER(I60),ISNUMBER(M60)),I60+M60,"")</f>
        <v/>
      </c>
      <c r="O60" s="38">
        <f>IF(B60="","",IFERROR(VLOOKUP(B60,'02_Lo_trinh'!$A$7:$N$11,10,FALSE),"Cần chọn lại giai đoạn"))</f>
        <v/>
      </c>
      <c r="P60" s="38">
        <f>IF(COUNT(E60:H60,M60)=0,"",IF(NOT(ISNUMBER(A60)),"Cần cập nhật ngày",IF(COUNTIF('02_Lo_trinh'!$A$7:$A$11,B60)&lt;&gt;1,"Cần chọn giai đoạn",IF(COUNTIF($A$7:$A$96,A60)&gt;1,"Cần rà soát ngày trùng",IF(COUNT(E60:H60)&lt;4,"Cần nhập đủ 4 khoản chi",IF(MIN(E60:H60)&lt;0,"Cần rà soát khoản chi âm",IF(O60&lt;&gt;"Đã phê duyệt","Cần đối chiếu phê duyệt",IF(NOT(ISNUMBER(J60)),"Cần ghi phần dự phòng",IF(OR(J60&lt;0,J60&gt;I60),"Cần rà soát số tiền dự phòng",IF(AND(B60="G4",NOT(ISNUMBER('01_Thiet_lap'!$D$24))),"Cần chốt dự phòng cấp 2",IF(AND(B60&lt;&gt;"G4",J60&gt;'01_Thiet_lap'!$D$10),"Cần rà soát mức dự phòng",IF(AND(B60="G4",ISNUMBER('01_Thiet_lap'!$D$24),J60&gt;'01_Thiet_lap'!$D$24),"Cần rà soát dự phòng cấp 2",IF(AND(J60&gt;0,Q60=""),"Cần bổ sung lý do dùng dự phòng",IF(C60&lt;&gt;"Hợp lệ","Chi phát sinh ngoài ngày hợp lệ",IF(NOT(ISNUMBER(M60)),"Chờ xác nhận thuế/phí",IF(I60&gt;D60,"Cần rà soát mức chi trong ngày","Đã ghi nhận"))))))))))))))))</f>
        <v/>
      </c>
      <c r="Q60" s="43" t="n"/>
      <c r="R60" s="43" t="n"/>
      <c r="S60" s="129">
        <f>IF(AND(ISNUMBER(A60),COUNTIF('02_Lo_trinh'!$A$7:$A$11,B60)=1,C60="Hợp lệ",COUNT(E60:H60)=4,I60&gt;0,COUNTIF($A$7:$A$96,A60)=1),1,0)</f>
        <v/>
      </c>
    </row>
    <row r="61" ht="38" customHeight="1">
      <c r="A61" s="130" t="inlineStr">
        <is>
          <t>[Chưa chốt]</t>
        </is>
      </c>
      <c r="B61" s="43" t="n"/>
      <c r="C61" s="43" t="inlineStr">
        <is>
          <t>Chưa xác nhận</t>
        </is>
      </c>
      <c r="D61" s="128">
        <f>IF(B61="","",IFERROR(VLOOKUP(B61,'02_Lo_trinh'!$A$7:$N$11,6,FALSE),""))</f>
        <v/>
      </c>
      <c r="E61" s="132" t="n"/>
      <c r="F61" s="132" t="n"/>
      <c r="G61" s="132" t="n"/>
      <c r="H61" s="132" t="n"/>
      <c r="I61" s="128">
        <f>IF(COUNT(E61:H61)=0,"",SUM(E61:H61))</f>
        <v/>
      </c>
      <c r="J61" s="132" t="n"/>
      <c r="K61" s="128">
        <f>IF(OR(S61&lt;&gt;1,NOT(ISNUMBER(J61)),J61&lt;0,J61&gt;I61),"",IF(B61="G4",IF(ISNUMBER('01_Thiet_lap'!$D$24),MAX(0,'01_Thiet_lap'!$D$24-J61),""),MAX(0,'01_Thiet_lap'!$D$10-J61)))</f>
        <v/>
      </c>
      <c r="L61" s="128">
        <f>IF(AND(ISNUMBER(I61),ISNUMBER(D61)),D61-I61,"")</f>
        <v/>
      </c>
      <c r="M61" s="132" t="n"/>
      <c r="N61" s="128">
        <f>IF(AND(ISNUMBER(I61),ISNUMBER(M61)),I61+M61,"")</f>
        <v/>
      </c>
      <c r="O61" s="38">
        <f>IF(B61="","",IFERROR(VLOOKUP(B61,'02_Lo_trinh'!$A$7:$N$11,10,FALSE),"Cần chọn lại giai đoạn"))</f>
        <v/>
      </c>
      <c r="P61" s="38">
        <f>IF(COUNT(E61:H61,M61)=0,"",IF(NOT(ISNUMBER(A61)),"Cần cập nhật ngày",IF(COUNTIF('02_Lo_trinh'!$A$7:$A$11,B61)&lt;&gt;1,"Cần chọn giai đoạn",IF(COUNTIF($A$7:$A$96,A61)&gt;1,"Cần rà soát ngày trùng",IF(COUNT(E61:H61)&lt;4,"Cần nhập đủ 4 khoản chi",IF(MIN(E61:H61)&lt;0,"Cần rà soát khoản chi âm",IF(O61&lt;&gt;"Đã phê duyệt","Cần đối chiếu phê duyệt",IF(NOT(ISNUMBER(J61)),"Cần ghi phần dự phòng",IF(OR(J61&lt;0,J61&gt;I61),"Cần rà soát số tiền dự phòng",IF(AND(B61="G4",NOT(ISNUMBER('01_Thiet_lap'!$D$24))),"Cần chốt dự phòng cấp 2",IF(AND(B61&lt;&gt;"G4",J61&gt;'01_Thiet_lap'!$D$10),"Cần rà soát mức dự phòng",IF(AND(B61="G4",ISNUMBER('01_Thiet_lap'!$D$24),J61&gt;'01_Thiet_lap'!$D$24),"Cần rà soát dự phòng cấp 2",IF(AND(J61&gt;0,Q61=""),"Cần bổ sung lý do dùng dự phòng",IF(C61&lt;&gt;"Hợp lệ","Chi phát sinh ngoài ngày hợp lệ",IF(NOT(ISNUMBER(M61)),"Chờ xác nhận thuế/phí",IF(I61&gt;D61,"Cần rà soát mức chi trong ngày","Đã ghi nhận"))))))))))))))))</f>
        <v/>
      </c>
      <c r="Q61" s="43" t="n"/>
      <c r="R61" s="43" t="n"/>
      <c r="S61" s="129">
        <f>IF(AND(ISNUMBER(A61),COUNTIF('02_Lo_trinh'!$A$7:$A$11,B61)=1,C61="Hợp lệ",COUNT(E61:H61)=4,I61&gt;0,COUNTIF($A$7:$A$96,A61)=1),1,0)</f>
        <v/>
      </c>
    </row>
    <row r="62" ht="38" customHeight="1">
      <c r="A62" s="130" t="inlineStr">
        <is>
          <t>[Chưa chốt]</t>
        </is>
      </c>
      <c r="B62" s="43" t="n"/>
      <c r="C62" s="43" t="inlineStr">
        <is>
          <t>Chưa xác nhận</t>
        </is>
      </c>
      <c r="D62" s="128">
        <f>IF(B62="","",IFERROR(VLOOKUP(B62,'02_Lo_trinh'!$A$7:$N$11,6,FALSE),""))</f>
        <v/>
      </c>
      <c r="E62" s="132" t="n"/>
      <c r="F62" s="132" t="n"/>
      <c r="G62" s="132" t="n"/>
      <c r="H62" s="132" t="n"/>
      <c r="I62" s="128">
        <f>IF(COUNT(E62:H62)=0,"",SUM(E62:H62))</f>
        <v/>
      </c>
      <c r="J62" s="132" t="n"/>
      <c r="K62" s="128">
        <f>IF(OR(S62&lt;&gt;1,NOT(ISNUMBER(J62)),J62&lt;0,J62&gt;I62),"",IF(B62="G4",IF(ISNUMBER('01_Thiet_lap'!$D$24),MAX(0,'01_Thiet_lap'!$D$24-J62),""),MAX(0,'01_Thiet_lap'!$D$10-J62)))</f>
        <v/>
      </c>
      <c r="L62" s="128">
        <f>IF(AND(ISNUMBER(I62),ISNUMBER(D62)),D62-I62,"")</f>
        <v/>
      </c>
      <c r="M62" s="132" t="n"/>
      <c r="N62" s="128">
        <f>IF(AND(ISNUMBER(I62),ISNUMBER(M62)),I62+M62,"")</f>
        <v/>
      </c>
      <c r="O62" s="38">
        <f>IF(B62="","",IFERROR(VLOOKUP(B62,'02_Lo_trinh'!$A$7:$N$11,10,FALSE),"Cần chọn lại giai đoạn"))</f>
        <v/>
      </c>
      <c r="P62" s="38">
        <f>IF(COUNT(E62:H62,M62)=0,"",IF(NOT(ISNUMBER(A62)),"Cần cập nhật ngày",IF(COUNTIF('02_Lo_trinh'!$A$7:$A$11,B62)&lt;&gt;1,"Cần chọn giai đoạn",IF(COUNTIF($A$7:$A$96,A62)&gt;1,"Cần rà soát ngày trùng",IF(COUNT(E62:H62)&lt;4,"Cần nhập đủ 4 khoản chi",IF(MIN(E62:H62)&lt;0,"Cần rà soát khoản chi âm",IF(O62&lt;&gt;"Đã phê duyệt","Cần đối chiếu phê duyệt",IF(NOT(ISNUMBER(J62)),"Cần ghi phần dự phòng",IF(OR(J62&lt;0,J62&gt;I62),"Cần rà soát số tiền dự phòng",IF(AND(B62="G4",NOT(ISNUMBER('01_Thiet_lap'!$D$24))),"Cần chốt dự phòng cấp 2",IF(AND(B62&lt;&gt;"G4",J62&gt;'01_Thiet_lap'!$D$10),"Cần rà soát mức dự phòng",IF(AND(B62="G4",ISNUMBER('01_Thiet_lap'!$D$24),J62&gt;'01_Thiet_lap'!$D$24),"Cần rà soát dự phòng cấp 2",IF(AND(J62&gt;0,Q62=""),"Cần bổ sung lý do dùng dự phòng",IF(C62&lt;&gt;"Hợp lệ","Chi phát sinh ngoài ngày hợp lệ",IF(NOT(ISNUMBER(M62)),"Chờ xác nhận thuế/phí",IF(I62&gt;D62,"Cần rà soát mức chi trong ngày","Đã ghi nhận"))))))))))))))))</f>
        <v/>
      </c>
      <c r="Q62" s="43" t="n"/>
      <c r="R62" s="43" t="n"/>
      <c r="S62" s="129">
        <f>IF(AND(ISNUMBER(A62),COUNTIF('02_Lo_trinh'!$A$7:$A$11,B62)=1,C62="Hợp lệ",COUNT(E62:H62)=4,I62&gt;0,COUNTIF($A$7:$A$96,A62)=1),1,0)</f>
        <v/>
      </c>
    </row>
    <row r="63" ht="38" customHeight="1">
      <c r="A63" s="130" t="inlineStr">
        <is>
          <t>[Chưa chốt]</t>
        </is>
      </c>
      <c r="B63" s="43" t="n"/>
      <c r="C63" s="43" t="inlineStr">
        <is>
          <t>Chưa xác nhận</t>
        </is>
      </c>
      <c r="D63" s="128">
        <f>IF(B63="","",IFERROR(VLOOKUP(B63,'02_Lo_trinh'!$A$7:$N$11,6,FALSE),""))</f>
        <v/>
      </c>
      <c r="E63" s="132" t="n"/>
      <c r="F63" s="132" t="n"/>
      <c r="G63" s="132" t="n"/>
      <c r="H63" s="132" t="n"/>
      <c r="I63" s="128">
        <f>IF(COUNT(E63:H63)=0,"",SUM(E63:H63))</f>
        <v/>
      </c>
      <c r="J63" s="132" t="n"/>
      <c r="K63" s="128">
        <f>IF(OR(S63&lt;&gt;1,NOT(ISNUMBER(J63)),J63&lt;0,J63&gt;I63),"",IF(B63="G4",IF(ISNUMBER('01_Thiet_lap'!$D$24),MAX(0,'01_Thiet_lap'!$D$24-J63),""),MAX(0,'01_Thiet_lap'!$D$10-J63)))</f>
        <v/>
      </c>
      <c r="L63" s="128">
        <f>IF(AND(ISNUMBER(I63),ISNUMBER(D63)),D63-I63,"")</f>
        <v/>
      </c>
      <c r="M63" s="132" t="n"/>
      <c r="N63" s="128">
        <f>IF(AND(ISNUMBER(I63),ISNUMBER(M63)),I63+M63,"")</f>
        <v/>
      </c>
      <c r="O63" s="38">
        <f>IF(B63="","",IFERROR(VLOOKUP(B63,'02_Lo_trinh'!$A$7:$N$11,10,FALSE),"Cần chọn lại giai đoạn"))</f>
        <v/>
      </c>
      <c r="P63" s="38">
        <f>IF(COUNT(E63:H63,M63)=0,"",IF(NOT(ISNUMBER(A63)),"Cần cập nhật ngày",IF(COUNTIF('02_Lo_trinh'!$A$7:$A$11,B63)&lt;&gt;1,"Cần chọn giai đoạn",IF(COUNTIF($A$7:$A$96,A63)&gt;1,"Cần rà soát ngày trùng",IF(COUNT(E63:H63)&lt;4,"Cần nhập đủ 4 khoản chi",IF(MIN(E63:H63)&lt;0,"Cần rà soát khoản chi âm",IF(O63&lt;&gt;"Đã phê duyệt","Cần đối chiếu phê duyệt",IF(NOT(ISNUMBER(J63)),"Cần ghi phần dự phòng",IF(OR(J63&lt;0,J63&gt;I63),"Cần rà soát số tiền dự phòng",IF(AND(B63="G4",NOT(ISNUMBER('01_Thiet_lap'!$D$24))),"Cần chốt dự phòng cấp 2",IF(AND(B63&lt;&gt;"G4",J63&gt;'01_Thiet_lap'!$D$10),"Cần rà soát mức dự phòng",IF(AND(B63="G4",ISNUMBER('01_Thiet_lap'!$D$24),J63&gt;'01_Thiet_lap'!$D$24),"Cần rà soát dự phòng cấp 2",IF(AND(J63&gt;0,Q63=""),"Cần bổ sung lý do dùng dự phòng",IF(C63&lt;&gt;"Hợp lệ","Chi phát sinh ngoài ngày hợp lệ",IF(NOT(ISNUMBER(M63)),"Chờ xác nhận thuế/phí",IF(I63&gt;D63,"Cần rà soát mức chi trong ngày","Đã ghi nhận"))))))))))))))))</f>
        <v/>
      </c>
      <c r="Q63" s="43" t="n"/>
      <c r="R63" s="43" t="n"/>
      <c r="S63" s="129">
        <f>IF(AND(ISNUMBER(A63),COUNTIF('02_Lo_trinh'!$A$7:$A$11,B63)=1,C63="Hợp lệ",COUNT(E63:H63)=4,I63&gt;0,COUNTIF($A$7:$A$96,A63)=1),1,0)</f>
        <v/>
      </c>
    </row>
    <row r="64" ht="38" customHeight="1">
      <c r="A64" s="130" t="inlineStr">
        <is>
          <t>[Chưa chốt]</t>
        </is>
      </c>
      <c r="B64" s="43" t="n"/>
      <c r="C64" s="43" t="inlineStr">
        <is>
          <t>Chưa xác nhận</t>
        </is>
      </c>
      <c r="D64" s="128">
        <f>IF(B64="","",IFERROR(VLOOKUP(B64,'02_Lo_trinh'!$A$7:$N$11,6,FALSE),""))</f>
        <v/>
      </c>
      <c r="E64" s="132" t="n"/>
      <c r="F64" s="132" t="n"/>
      <c r="G64" s="132" t="n"/>
      <c r="H64" s="132" t="n"/>
      <c r="I64" s="128">
        <f>IF(COUNT(E64:H64)=0,"",SUM(E64:H64))</f>
        <v/>
      </c>
      <c r="J64" s="132" t="n"/>
      <c r="K64" s="128">
        <f>IF(OR(S64&lt;&gt;1,NOT(ISNUMBER(J64)),J64&lt;0,J64&gt;I64),"",IF(B64="G4",IF(ISNUMBER('01_Thiet_lap'!$D$24),MAX(0,'01_Thiet_lap'!$D$24-J64),""),MAX(0,'01_Thiet_lap'!$D$10-J64)))</f>
        <v/>
      </c>
      <c r="L64" s="128">
        <f>IF(AND(ISNUMBER(I64),ISNUMBER(D64)),D64-I64,"")</f>
        <v/>
      </c>
      <c r="M64" s="132" t="n"/>
      <c r="N64" s="128">
        <f>IF(AND(ISNUMBER(I64),ISNUMBER(M64)),I64+M64,"")</f>
        <v/>
      </c>
      <c r="O64" s="38">
        <f>IF(B64="","",IFERROR(VLOOKUP(B64,'02_Lo_trinh'!$A$7:$N$11,10,FALSE),"Cần chọn lại giai đoạn"))</f>
        <v/>
      </c>
      <c r="P64" s="38">
        <f>IF(COUNT(E64:H64,M64)=0,"",IF(NOT(ISNUMBER(A64)),"Cần cập nhật ngày",IF(COUNTIF('02_Lo_trinh'!$A$7:$A$11,B64)&lt;&gt;1,"Cần chọn giai đoạn",IF(COUNTIF($A$7:$A$96,A64)&gt;1,"Cần rà soát ngày trùng",IF(COUNT(E64:H64)&lt;4,"Cần nhập đủ 4 khoản chi",IF(MIN(E64:H64)&lt;0,"Cần rà soát khoản chi âm",IF(O64&lt;&gt;"Đã phê duyệt","Cần đối chiếu phê duyệt",IF(NOT(ISNUMBER(J64)),"Cần ghi phần dự phòng",IF(OR(J64&lt;0,J64&gt;I64),"Cần rà soát số tiền dự phòng",IF(AND(B64="G4",NOT(ISNUMBER('01_Thiet_lap'!$D$24))),"Cần chốt dự phòng cấp 2",IF(AND(B64&lt;&gt;"G4",J64&gt;'01_Thiet_lap'!$D$10),"Cần rà soát mức dự phòng",IF(AND(B64="G4",ISNUMBER('01_Thiet_lap'!$D$24),J64&gt;'01_Thiet_lap'!$D$24),"Cần rà soát dự phòng cấp 2",IF(AND(J64&gt;0,Q64=""),"Cần bổ sung lý do dùng dự phòng",IF(C64&lt;&gt;"Hợp lệ","Chi phát sinh ngoài ngày hợp lệ",IF(NOT(ISNUMBER(M64)),"Chờ xác nhận thuế/phí",IF(I64&gt;D64,"Cần rà soát mức chi trong ngày","Đã ghi nhận"))))))))))))))))</f>
        <v/>
      </c>
      <c r="Q64" s="43" t="n"/>
      <c r="R64" s="43" t="n"/>
      <c r="S64" s="129">
        <f>IF(AND(ISNUMBER(A64),COUNTIF('02_Lo_trinh'!$A$7:$A$11,B64)=1,C64="Hợp lệ",COUNT(E64:H64)=4,I64&gt;0,COUNTIF($A$7:$A$96,A64)=1),1,0)</f>
        <v/>
      </c>
    </row>
    <row r="65" ht="38" customHeight="1">
      <c r="A65" s="130" t="inlineStr">
        <is>
          <t>[Chưa chốt]</t>
        </is>
      </c>
      <c r="B65" s="43" t="n"/>
      <c r="C65" s="43" t="inlineStr">
        <is>
          <t>Chưa xác nhận</t>
        </is>
      </c>
      <c r="D65" s="128">
        <f>IF(B65="","",IFERROR(VLOOKUP(B65,'02_Lo_trinh'!$A$7:$N$11,6,FALSE),""))</f>
        <v/>
      </c>
      <c r="E65" s="132" t="n"/>
      <c r="F65" s="132" t="n"/>
      <c r="G65" s="132" t="n"/>
      <c r="H65" s="132" t="n"/>
      <c r="I65" s="128">
        <f>IF(COUNT(E65:H65)=0,"",SUM(E65:H65))</f>
        <v/>
      </c>
      <c r="J65" s="132" t="n"/>
      <c r="K65" s="128">
        <f>IF(OR(S65&lt;&gt;1,NOT(ISNUMBER(J65)),J65&lt;0,J65&gt;I65),"",IF(B65="G4",IF(ISNUMBER('01_Thiet_lap'!$D$24),MAX(0,'01_Thiet_lap'!$D$24-J65),""),MAX(0,'01_Thiet_lap'!$D$10-J65)))</f>
        <v/>
      </c>
      <c r="L65" s="128">
        <f>IF(AND(ISNUMBER(I65),ISNUMBER(D65)),D65-I65,"")</f>
        <v/>
      </c>
      <c r="M65" s="132" t="n"/>
      <c r="N65" s="128">
        <f>IF(AND(ISNUMBER(I65),ISNUMBER(M65)),I65+M65,"")</f>
        <v/>
      </c>
      <c r="O65" s="38">
        <f>IF(B65="","",IFERROR(VLOOKUP(B65,'02_Lo_trinh'!$A$7:$N$11,10,FALSE),"Cần chọn lại giai đoạn"))</f>
        <v/>
      </c>
      <c r="P65" s="38">
        <f>IF(COUNT(E65:H65,M65)=0,"",IF(NOT(ISNUMBER(A65)),"Cần cập nhật ngày",IF(COUNTIF('02_Lo_trinh'!$A$7:$A$11,B65)&lt;&gt;1,"Cần chọn giai đoạn",IF(COUNTIF($A$7:$A$96,A65)&gt;1,"Cần rà soát ngày trùng",IF(COUNT(E65:H65)&lt;4,"Cần nhập đủ 4 khoản chi",IF(MIN(E65:H65)&lt;0,"Cần rà soát khoản chi âm",IF(O65&lt;&gt;"Đã phê duyệt","Cần đối chiếu phê duyệt",IF(NOT(ISNUMBER(J65)),"Cần ghi phần dự phòng",IF(OR(J65&lt;0,J65&gt;I65),"Cần rà soát số tiền dự phòng",IF(AND(B65="G4",NOT(ISNUMBER('01_Thiet_lap'!$D$24))),"Cần chốt dự phòng cấp 2",IF(AND(B65&lt;&gt;"G4",J65&gt;'01_Thiet_lap'!$D$10),"Cần rà soát mức dự phòng",IF(AND(B65="G4",ISNUMBER('01_Thiet_lap'!$D$24),J65&gt;'01_Thiet_lap'!$D$24),"Cần rà soát dự phòng cấp 2",IF(AND(J65&gt;0,Q65=""),"Cần bổ sung lý do dùng dự phòng",IF(C65&lt;&gt;"Hợp lệ","Chi phát sinh ngoài ngày hợp lệ",IF(NOT(ISNUMBER(M65)),"Chờ xác nhận thuế/phí",IF(I65&gt;D65,"Cần rà soát mức chi trong ngày","Đã ghi nhận"))))))))))))))))</f>
        <v/>
      </c>
      <c r="Q65" s="43" t="n"/>
      <c r="R65" s="43" t="n"/>
      <c r="S65" s="129">
        <f>IF(AND(ISNUMBER(A65),COUNTIF('02_Lo_trinh'!$A$7:$A$11,B65)=1,C65="Hợp lệ",COUNT(E65:H65)=4,I65&gt;0,COUNTIF($A$7:$A$96,A65)=1),1,0)</f>
        <v/>
      </c>
    </row>
    <row r="66" ht="38" customHeight="1">
      <c r="A66" s="130" t="inlineStr">
        <is>
          <t>[Chưa chốt]</t>
        </is>
      </c>
      <c r="B66" s="43" t="n"/>
      <c r="C66" s="43" t="inlineStr">
        <is>
          <t>Chưa xác nhận</t>
        </is>
      </c>
      <c r="D66" s="128">
        <f>IF(B66="","",IFERROR(VLOOKUP(B66,'02_Lo_trinh'!$A$7:$N$11,6,FALSE),""))</f>
        <v/>
      </c>
      <c r="E66" s="132" t="n"/>
      <c r="F66" s="132" t="n"/>
      <c r="G66" s="132" t="n"/>
      <c r="H66" s="132" t="n"/>
      <c r="I66" s="128">
        <f>IF(COUNT(E66:H66)=0,"",SUM(E66:H66))</f>
        <v/>
      </c>
      <c r="J66" s="132" t="n"/>
      <c r="K66" s="128">
        <f>IF(OR(S66&lt;&gt;1,NOT(ISNUMBER(J66)),J66&lt;0,J66&gt;I66),"",IF(B66="G4",IF(ISNUMBER('01_Thiet_lap'!$D$24),MAX(0,'01_Thiet_lap'!$D$24-J66),""),MAX(0,'01_Thiet_lap'!$D$10-J66)))</f>
        <v/>
      </c>
      <c r="L66" s="128">
        <f>IF(AND(ISNUMBER(I66),ISNUMBER(D66)),D66-I66,"")</f>
        <v/>
      </c>
      <c r="M66" s="132" t="n"/>
      <c r="N66" s="128">
        <f>IF(AND(ISNUMBER(I66),ISNUMBER(M66)),I66+M66,"")</f>
        <v/>
      </c>
      <c r="O66" s="38">
        <f>IF(B66="","",IFERROR(VLOOKUP(B66,'02_Lo_trinh'!$A$7:$N$11,10,FALSE),"Cần chọn lại giai đoạn"))</f>
        <v/>
      </c>
      <c r="P66" s="38">
        <f>IF(COUNT(E66:H66,M66)=0,"",IF(NOT(ISNUMBER(A66)),"Cần cập nhật ngày",IF(COUNTIF('02_Lo_trinh'!$A$7:$A$11,B66)&lt;&gt;1,"Cần chọn giai đoạn",IF(COUNTIF($A$7:$A$96,A66)&gt;1,"Cần rà soát ngày trùng",IF(COUNT(E66:H66)&lt;4,"Cần nhập đủ 4 khoản chi",IF(MIN(E66:H66)&lt;0,"Cần rà soát khoản chi âm",IF(O66&lt;&gt;"Đã phê duyệt","Cần đối chiếu phê duyệt",IF(NOT(ISNUMBER(J66)),"Cần ghi phần dự phòng",IF(OR(J66&lt;0,J66&gt;I66),"Cần rà soát số tiền dự phòng",IF(AND(B66="G4",NOT(ISNUMBER('01_Thiet_lap'!$D$24))),"Cần chốt dự phòng cấp 2",IF(AND(B66&lt;&gt;"G4",J66&gt;'01_Thiet_lap'!$D$10),"Cần rà soát mức dự phòng",IF(AND(B66="G4",ISNUMBER('01_Thiet_lap'!$D$24),J66&gt;'01_Thiet_lap'!$D$24),"Cần rà soát dự phòng cấp 2",IF(AND(J66&gt;0,Q66=""),"Cần bổ sung lý do dùng dự phòng",IF(C66&lt;&gt;"Hợp lệ","Chi phát sinh ngoài ngày hợp lệ",IF(NOT(ISNUMBER(M66)),"Chờ xác nhận thuế/phí",IF(I66&gt;D66,"Cần rà soát mức chi trong ngày","Đã ghi nhận"))))))))))))))))</f>
        <v/>
      </c>
      <c r="Q66" s="43" t="n"/>
      <c r="R66" s="43" t="n"/>
      <c r="S66" s="129">
        <f>IF(AND(ISNUMBER(A66),COUNTIF('02_Lo_trinh'!$A$7:$A$11,B66)=1,C66="Hợp lệ",COUNT(E66:H66)=4,I66&gt;0,COUNTIF($A$7:$A$96,A66)=1),1,0)</f>
        <v/>
      </c>
    </row>
    <row r="67" ht="38" customHeight="1">
      <c r="A67" s="130" t="inlineStr">
        <is>
          <t>[Chưa chốt]</t>
        </is>
      </c>
      <c r="B67" s="43" t="n"/>
      <c r="C67" s="43" t="inlineStr">
        <is>
          <t>Chưa xác nhận</t>
        </is>
      </c>
      <c r="D67" s="128">
        <f>IF(B67="","",IFERROR(VLOOKUP(B67,'02_Lo_trinh'!$A$7:$N$11,6,FALSE),""))</f>
        <v/>
      </c>
      <c r="E67" s="132" t="n"/>
      <c r="F67" s="132" t="n"/>
      <c r="G67" s="132" t="n"/>
      <c r="H67" s="132" t="n"/>
      <c r="I67" s="128">
        <f>IF(COUNT(E67:H67)=0,"",SUM(E67:H67))</f>
        <v/>
      </c>
      <c r="J67" s="132" t="n"/>
      <c r="K67" s="128">
        <f>IF(OR(S67&lt;&gt;1,NOT(ISNUMBER(J67)),J67&lt;0,J67&gt;I67),"",IF(B67="G4",IF(ISNUMBER('01_Thiet_lap'!$D$24),MAX(0,'01_Thiet_lap'!$D$24-J67),""),MAX(0,'01_Thiet_lap'!$D$10-J67)))</f>
        <v/>
      </c>
      <c r="L67" s="128">
        <f>IF(AND(ISNUMBER(I67),ISNUMBER(D67)),D67-I67,"")</f>
        <v/>
      </c>
      <c r="M67" s="132" t="n"/>
      <c r="N67" s="128">
        <f>IF(AND(ISNUMBER(I67),ISNUMBER(M67)),I67+M67,"")</f>
        <v/>
      </c>
      <c r="O67" s="38">
        <f>IF(B67="","",IFERROR(VLOOKUP(B67,'02_Lo_trinh'!$A$7:$N$11,10,FALSE),"Cần chọn lại giai đoạn"))</f>
        <v/>
      </c>
      <c r="P67" s="38">
        <f>IF(COUNT(E67:H67,M67)=0,"",IF(NOT(ISNUMBER(A67)),"Cần cập nhật ngày",IF(COUNTIF('02_Lo_trinh'!$A$7:$A$11,B67)&lt;&gt;1,"Cần chọn giai đoạn",IF(COUNTIF($A$7:$A$96,A67)&gt;1,"Cần rà soát ngày trùng",IF(COUNT(E67:H67)&lt;4,"Cần nhập đủ 4 khoản chi",IF(MIN(E67:H67)&lt;0,"Cần rà soát khoản chi âm",IF(O67&lt;&gt;"Đã phê duyệt","Cần đối chiếu phê duyệt",IF(NOT(ISNUMBER(J67)),"Cần ghi phần dự phòng",IF(OR(J67&lt;0,J67&gt;I67),"Cần rà soát số tiền dự phòng",IF(AND(B67="G4",NOT(ISNUMBER('01_Thiet_lap'!$D$24))),"Cần chốt dự phòng cấp 2",IF(AND(B67&lt;&gt;"G4",J67&gt;'01_Thiet_lap'!$D$10),"Cần rà soát mức dự phòng",IF(AND(B67="G4",ISNUMBER('01_Thiet_lap'!$D$24),J67&gt;'01_Thiet_lap'!$D$24),"Cần rà soát dự phòng cấp 2",IF(AND(J67&gt;0,Q67=""),"Cần bổ sung lý do dùng dự phòng",IF(C67&lt;&gt;"Hợp lệ","Chi phát sinh ngoài ngày hợp lệ",IF(NOT(ISNUMBER(M67)),"Chờ xác nhận thuế/phí",IF(I67&gt;D67,"Cần rà soát mức chi trong ngày","Đã ghi nhận"))))))))))))))))</f>
        <v/>
      </c>
      <c r="Q67" s="43" t="n"/>
      <c r="R67" s="43" t="n"/>
      <c r="S67" s="129">
        <f>IF(AND(ISNUMBER(A67),COUNTIF('02_Lo_trinh'!$A$7:$A$11,B67)=1,C67="Hợp lệ",COUNT(E67:H67)=4,I67&gt;0,COUNTIF($A$7:$A$96,A67)=1),1,0)</f>
        <v/>
      </c>
    </row>
    <row r="68" ht="38" customHeight="1">
      <c r="A68" s="130" t="inlineStr">
        <is>
          <t>[Chưa chốt]</t>
        </is>
      </c>
      <c r="B68" s="43" t="n"/>
      <c r="C68" s="43" t="inlineStr">
        <is>
          <t>Chưa xác nhận</t>
        </is>
      </c>
      <c r="D68" s="128">
        <f>IF(B68="","",IFERROR(VLOOKUP(B68,'02_Lo_trinh'!$A$7:$N$11,6,FALSE),""))</f>
        <v/>
      </c>
      <c r="E68" s="132" t="n"/>
      <c r="F68" s="132" t="n"/>
      <c r="G68" s="132" t="n"/>
      <c r="H68" s="132" t="n"/>
      <c r="I68" s="128">
        <f>IF(COUNT(E68:H68)=0,"",SUM(E68:H68))</f>
        <v/>
      </c>
      <c r="J68" s="132" t="n"/>
      <c r="K68" s="128">
        <f>IF(OR(S68&lt;&gt;1,NOT(ISNUMBER(J68)),J68&lt;0,J68&gt;I68),"",IF(B68="G4",IF(ISNUMBER('01_Thiet_lap'!$D$24),MAX(0,'01_Thiet_lap'!$D$24-J68),""),MAX(0,'01_Thiet_lap'!$D$10-J68)))</f>
        <v/>
      </c>
      <c r="L68" s="128">
        <f>IF(AND(ISNUMBER(I68),ISNUMBER(D68)),D68-I68,"")</f>
        <v/>
      </c>
      <c r="M68" s="132" t="n"/>
      <c r="N68" s="128">
        <f>IF(AND(ISNUMBER(I68),ISNUMBER(M68)),I68+M68,"")</f>
        <v/>
      </c>
      <c r="O68" s="38">
        <f>IF(B68="","",IFERROR(VLOOKUP(B68,'02_Lo_trinh'!$A$7:$N$11,10,FALSE),"Cần chọn lại giai đoạn"))</f>
        <v/>
      </c>
      <c r="P68" s="38">
        <f>IF(COUNT(E68:H68,M68)=0,"",IF(NOT(ISNUMBER(A68)),"Cần cập nhật ngày",IF(COUNTIF('02_Lo_trinh'!$A$7:$A$11,B68)&lt;&gt;1,"Cần chọn giai đoạn",IF(COUNTIF($A$7:$A$96,A68)&gt;1,"Cần rà soát ngày trùng",IF(COUNT(E68:H68)&lt;4,"Cần nhập đủ 4 khoản chi",IF(MIN(E68:H68)&lt;0,"Cần rà soát khoản chi âm",IF(O68&lt;&gt;"Đã phê duyệt","Cần đối chiếu phê duyệt",IF(NOT(ISNUMBER(J68)),"Cần ghi phần dự phòng",IF(OR(J68&lt;0,J68&gt;I68),"Cần rà soát số tiền dự phòng",IF(AND(B68="G4",NOT(ISNUMBER('01_Thiet_lap'!$D$24))),"Cần chốt dự phòng cấp 2",IF(AND(B68&lt;&gt;"G4",J68&gt;'01_Thiet_lap'!$D$10),"Cần rà soát mức dự phòng",IF(AND(B68="G4",ISNUMBER('01_Thiet_lap'!$D$24),J68&gt;'01_Thiet_lap'!$D$24),"Cần rà soát dự phòng cấp 2",IF(AND(J68&gt;0,Q68=""),"Cần bổ sung lý do dùng dự phòng",IF(C68&lt;&gt;"Hợp lệ","Chi phát sinh ngoài ngày hợp lệ",IF(NOT(ISNUMBER(M68)),"Chờ xác nhận thuế/phí",IF(I68&gt;D68,"Cần rà soát mức chi trong ngày","Đã ghi nhận"))))))))))))))))</f>
        <v/>
      </c>
      <c r="Q68" s="43" t="n"/>
      <c r="R68" s="43" t="n"/>
      <c r="S68" s="129">
        <f>IF(AND(ISNUMBER(A68),COUNTIF('02_Lo_trinh'!$A$7:$A$11,B68)=1,C68="Hợp lệ",COUNT(E68:H68)=4,I68&gt;0,COUNTIF($A$7:$A$96,A68)=1),1,0)</f>
        <v/>
      </c>
    </row>
    <row r="69" ht="38" customHeight="1">
      <c r="A69" s="130" t="inlineStr">
        <is>
          <t>[Chưa chốt]</t>
        </is>
      </c>
      <c r="B69" s="43" t="n"/>
      <c r="C69" s="43" t="inlineStr">
        <is>
          <t>Chưa xác nhận</t>
        </is>
      </c>
      <c r="D69" s="128">
        <f>IF(B69="","",IFERROR(VLOOKUP(B69,'02_Lo_trinh'!$A$7:$N$11,6,FALSE),""))</f>
        <v/>
      </c>
      <c r="E69" s="132" t="n"/>
      <c r="F69" s="132" t="n"/>
      <c r="G69" s="132" t="n"/>
      <c r="H69" s="132" t="n"/>
      <c r="I69" s="128">
        <f>IF(COUNT(E69:H69)=0,"",SUM(E69:H69))</f>
        <v/>
      </c>
      <c r="J69" s="132" t="n"/>
      <c r="K69" s="128">
        <f>IF(OR(S69&lt;&gt;1,NOT(ISNUMBER(J69)),J69&lt;0,J69&gt;I69),"",IF(B69="G4",IF(ISNUMBER('01_Thiet_lap'!$D$24),MAX(0,'01_Thiet_lap'!$D$24-J69),""),MAX(0,'01_Thiet_lap'!$D$10-J69)))</f>
        <v/>
      </c>
      <c r="L69" s="128">
        <f>IF(AND(ISNUMBER(I69),ISNUMBER(D69)),D69-I69,"")</f>
        <v/>
      </c>
      <c r="M69" s="132" t="n"/>
      <c r="N69" s="128">
        <f>IF(AND(ISNUMBER(I69),ISNUMBER(M69)),I69+M69,"")</f>
        <v/>
      </c>
      <c r="O69" s="38">
        <f>IF(B69="","",IFERROR(VLOOKUP(B69,'02_Lo_trinh'!$A$7:$N$11,10,FALSE),"Cần chọn lại giai đoạn"))</f>
        <v/>
      </c>
      <c r="P69" s="38">
        <f>IF(COUNT(E69:H69,M69)=0,"",IF(NOT(ISNUMBER(A69)),"Cần cập nhật ngày",IF(COUNTIF('02_Lo_trinh'!$A$7:$A$11,B69)&lt;&gt;1,"Cần chọn giai đoạn",IF(COUNTIF($A$7:$A$96,A69)&gt;1,"Cần rà soát ngày trùng",IF(COUNT(E69:H69)&lt;4,"Cần nhập đủ 4 khoản chi",IF(MIN(E69:H69)&lt;0,"Cần rà soát khoản chi âm",IF(O69&lt;&gt;"Đã phê duyệt","Cần đối chiếu phê duyệt",IF(NOT(ISNUMBER(J69)),"Cần ghi phần dự phòng",IF(OR(J69&lt;0,J69&gt;I69),"Cần rà soát số tiền dự phòng",IF(AND(B69="G4",NOT(ISNUMBER('01_Thiet_lap'!$D$24))),"Cần chốt dự phòng cấp 2",IF(AND(B69&lt;&gt;"G4",J69&gt;'01_Thiet_lap'!$D$10),"Cần rà soát mức dự phòng",IF(AND(B69="G4",ISNUMBER('01_Thiet_lap'!$D$24),J69&gt;'01_Thiet_lap'!$D$24),"Cần rà soát dự phòng cấp 2",IF(AND(J69&gt;0,Q69=""),"Cần bổ sung lý do dùng dự phòng",IF(C69&lt;&gt;"Hợp lệ","Chi phát sinh ngoài ngày hợp lệ",IF(NOT(ISNUMBER(M69)),"Chờ xác nhận thuế/phí",IF(I69&gt;D69,"Cần rà soát mức chi trong ngày","Đã ghi nhận"))))))))))))))))</f>
        <v/>
      </c>
      <c r="Q69" s="43" t="n"/>
      <c r="R69" s="43" t="n"/>
      <c r="S69" s="129">
        <f>IF(AND(ISNUMBER(A69),COUNTIF('02_Lo_trinh'!$A$7:$A$11,B69)=1,C69="Hợp lệ",COUNT(E69:H69)=4,I69&gt;0,COUNTIF($A$7:$A$96,A69)=1),1,0)</f>
        <v/>
      </c>
    </row>
    <row r="70" ht="38" customHeight="1">
      <c r="A70" s="130" t="inlineStr">
        <is>
          <t>[Chưa chốt]</t>
        </is>
      </c>
      <c r="B70" s="43" t="n"/>
      <c r="C70" s="43" t="inlineStr">
        <is>
          <t>Chưa xác nhận</t>
        </is>
      </c>
      <c r="D70" s="128">
        <f>IF(B70="","",IFERROR(VLOOKUP(B70,'02_Lo_trinh'!$A$7:$N$11,6,FALSE),""))</f>
        <v/>
      </c>
      <c r="E70" s="132" t="n"/>
      <c r="F70" s="132" t="n"/>
      <c r="G70" s="132" t="n"/>
      <c r="H70" s="132" t="n"/>
      <c r="I70" s="128">
        <f>IF(COUNT(E70:H70)=0,"",SUM(E70:H70))</f>
        <v/>
      </c>
      <c r="J70" s="132" t="n"/>
      <c r="K70" s="128">
        <f>IF(OR(S70&lt;&gt;1,NOT(ISNUMBER(J70)),J70&lt;0,J70&gt;I70),"",IF(B70="G4",IF(ISNUMBER('01_Thiet_lap'!$D$24),MAX(0,'01_Thiet_lap'!$D$24-J70),""),MAX(0,'01_Thiet_lap'!$D$10-J70)))</f>
        <v/>
      </c>
      <c r="L70" s="128">
        <f>IF(AND(ISNUMBER(I70),ISNUMBER(D70)),D70-I70,"")</f>
        <v/>
      </c>
      <c r="M70" s="132" t="n"/>
      <c r="N70" s="128">
        <f>IF(AND(ISNUMBER(I70),ISNUMBER(M70)),I70+M70,"")</f>
        <v/>
      </c>
      <c r="O70" s="38">
        <f>IF(B70="","",IFERROR(VLOOKUP(B70,'02_Lo_trinh'!$A$7:$N$11,10,FALSE),"Cần chọn lại giai đoạn"))</f>
        <v/>
      </c>
      <c r="P70" s="38">
        <f>IF(COUNT(E70:H70,M70)=0,"",IF(NOT(ISNUMBER(A70)),"Cần cập nhật ngày",IF(COUNTIF('02_Lo_trinh'!$A$7:$A$11,B70)&lt;&gt;1,"Cần chọn giai đoạn",IF(COUNTIF($A$7:$A$96,A70)&gt;1,"Cần rà soát ngày trùng",IF(COUNT(E70:H70)&lt;4,"Cần nhập đủ 4 khoản chi",IF(MIN(E70:H70)&lt;0,"Cần rà soát khoản chi âm",IF(O70&lt;&gt;"Đã phê duyệt","Cần đối chiếu phê duyệt",IF(NOT(ISNUMBER(J70)),"Cần ghi phần dự phòng",IF(OR(J70&lt;0,J70&gt;I70),"Cần rà soát số tiền dự phòng",IF(AND(B70="G4",NOT(ISNUMBER('01_Thiet_lap'!$D$24))),"Cần chốt dự phòng cấp 2",IF(AND(B70&lt;&gt;"G4",J70&gt;'01_Thiet_lap'!$D$10),"Cần rà soát mức dự phòng",IF(AND(B70="G4",ISNUMBER('01_Thiet_lap'!$D$24),J70&gt;'01_Thiet_lap'!$D$24),"Cần rà soát dự phòng cấp 2",IF(AND(J70&gt;0,Q70=""),"Cần bổ sung lý do dùng dự phòng",IF(C70&lt;&gt;"Hợp lệ","Chi phát sinh ngoài ngày hợp lệ",IF(NOT(ISNUMBER(M70)),"Chờ xác nhận thuế/phí",IF(I70&gt;D70,"Cần rà soát mức chi trong ngày","Đã ghi nhận"))))))))))))))))</f>
        <v/>
      </c>
      <c r="Q70" s="43" t="n"/>
      <c r="R70" s="43" t="n"/>
      <c r="S70" s="129">
        <f>IF(AND(ISNUMBER(A70),COUNTIF('02_Lo_trinh'!$A$7:$A$11,B70)=1,C70="Hợp lệ",COUNT(E70:H70)=4,I70&gt;0,COUNTIF($A$7:$A$96,A70)=1),1,0)</f>
        <v/>
      </c>
    </row>
    <row r="71" ht="38" customHeight="1">
      <c r="A71" s="130" t="inlineStr">
        <is>
          <t>[Chưa chốt]</t>
        </is>
      </c>
      <c r="B71" s="43" t="n"/>
      <c r="C71" s="43" t="inlineStr">
        <is>
          <t>Chưa xác nhận</t>
        </is>
      </c>
      <c r="D71" s="128">
        <f>IF(B71="","",IFERROR(VLOOKUP(B71,'02_Lo_trinh'!$A$7:$N$11,6,FALSE),""))</f>
        <v/>
      </c>
      <c r="E71" s="132" t="n"/>
      <c r="F71" s="132" t="n"/>
      <c r="G71" s="132" t="n"/>
      <c r="H71" s="132" t="n"/>
      <c r="I71" s="128">
        <f>IF(COUNT(E71:H71)=0,"",SUM(E71:H71))</f>
        <v/>
      </c>
      <c r="J71" s="132" t="n"/>
      <c r="K71" s="128">
        <f>IF(OR(S71&lt;&gt;1,NOT(ISNUMBER(J71)),J71&lt;0,J71&gt;I71),"",IF(B71="G4",IF(ISNUMBER('01_Thiet_lap'!$D$24),MAX(0,'01_Thiet_lap'!$D$24-J71),""),MAX(0,'01_Thiet_lap'!$D$10-J71)))</f>
        <v/>
      </c>
      <c r="L71" s="128">
        <f>IF(AND(ISNUMBER(I71),ISNUMBER(D71)),D71-I71,"")</f>
        <v/>
      </c>
      <c r="M71" s="132" t="n"/>
      <c r="N71" s="128">
        <f>IF(AND(ISNUMBER(I71),ISNUMBER(M71)),I71+M71,"")</f>
        <v/>
      </c>
      <c r="O71" s="38">
        <f>IF(B71="","",IFERROR(VLOOKUP(B71,'02_Lo_trinh'!$A$7:$N$11,10,FALSE),"Cần chọn lại giai đoạn"))</f>
        <v/>
      </c>
      <c r="P71" s="38">
        <f>IF(COUNT(E71:H71,M71)=0,"",IF(NOT(ISNUMBER(A71)),"Cần cập nhật ngày",IF(COUNTIF('02_Lo_trinh'!$A$7:$A$11,B71)&lt;&gt;1,"Cần chọn giai đoạn",IF(COUNTIF($A$7:$A$96,A71)&gt;1,"Cần rà soát ngày trùng",IF(COUNT(E71:H71)&lt;4,"Cần nhập đủ 4 khoản chi",IF(MIN(E71:H71)&lt;0,"Cần rà soát khoản chi âm",IF(O71&lt;&gt;"Đã phê duyệt","Cần đối chiếu phê duyệt",IF(NOT(ISNUMBER(J71)),"Cần ghi phần dự phòng",IF(OR(J71&lt;0,J71&gt;I71),"Cần rà soát số tiền dự phòng",IF(AND(B71="G4",NOT(ISNUMBER('01_Thiet_lap'!$D$24))),"Cần chốt dự phòng cấp 2",IF(AND(B71&lt;&gt;"G4",J71&gt;'01_Thiet_lap'!$D$10),"Cần rà soát mức dự phòng",IF(AND(B71="G4",ISNUMBER('01_Thiet_lap'!$D$24),J71&gt;'01_Thiet_lap'!$D$24),"Cần rà soát dự phòng cấp 2",IF(AND(J71&gt;0,Q71=""),"Cần bổ sung lý do dùng dự phòng",IF(C71&lt;&gt;"Hợp lệ","Chi phát sinh ngoài ngày hợp lệ",IF(NOT(ISNUMBER(M71)),"Chờ xác nhận thuế/phí",IF(I71&gt;D71,"Cần rà soát mức chi trong ngày","Đã ghi nhận"))))))))))))))))</f>
        <v/>
      </c>
      <c r="Q71" s="43" t="n"/>
      <c r="R71" s="43" t="n"/>
      <c r="S71" s="129">
        <f>IF(AND(ISNUMBER(A71),COUNTIF('02_Lo_trinh'!$A$7:$A$11,B71)=1,C71="Hợp lệ",COUNT(E71:H71)=4,I71&gt;0,COUNTIF($A$7:$A$96,A71)=1),1,0)</f>
        <v/>
      </c>
    </row>
    <row r="72" ht="38" customHeight="1">
      <c r="A72" s="130" t="inlineStr">
        <is>
          <t>[Chưa chốt]</t>
        </is>
      </c>
      <c r="B72" s="43" t="n"/>
      <c r="C72" s="43" t="inlineStr">
        <is>
          <t>Chưa xác nhận</t>
        </is>
      </c>
      <c r="D72" s="128">
        <f>IF(B72="","",IFERROR(VLOOKUP(B72,'02_Lo_trinh'!$A$7:$N$11,6,FALSE),""))</f>
        <v/>
      </c>
      <c r="E72" s="132" t="n"/>
      <c r="F72" s="132" t="n"/>
      <c r="G72" s="132" t="n"/>
      <c r="H72" s="132" t="n"/>
      <c r="I72" s="128">
        <f>IF(COUNT(E72:H72)=0,"",SUM(E72:H72))</f>
        <v/>
      </c>
      <c r="J72" s="132" t="n"/>
      <c r="K72" s="128">
        <f>IF(OR(S72&lt;&gt;1,NOT(ISNUMBER(J72)),J72&lt;0,J72&gt;I72),"",IF(B72="G4",IF(ISNUMBER('01_Thiet_lap'!$D$24),MAX(0,'01_Thiet_lap'!$D$24-J72),""),MAX(0,'01_Thiet_lap'!$D$10-J72)))</f>
        <v/>
      </c>
      <c r="L72" s="128">
        <f>IF(AND(ISNUMBER(I72),ISNUMBER(D72)),D72-I72,"")</f>
        <v/>
      </c>
      <c r="M72" s="132" t="n"/>
      <c r="N72" s="128">
        <f>IF(AND(ISNUMBER(I72),ISNUMBER(M72)),I72+M72,"")</f>
        <v/>
      </c>
      <c r="O72" s="38">
        <f>IF(B72="","",IFERROR(VLOOKUP(B72,'02_Lo_trinh'!$A$7:$N$11,10,FALSE),"Cần chọn lại giai đoạn"))</f>
        <v/>
      </c>
      <c r="P72" s="38">
        <f>IF(COUNT(E72:H72,M72)=0,"",IF(NOT(ISNUMBER(A72)),"Cần cập nhật ngày",IF(COUNTIF('02_Lo_trinh'!$A$7:$A$11,B72)&lt;&gt;1,"Cần chọn giai đoạn",IF(COUNTIF($A$7:$A$96,A72)&gt;1,"Cần rà soát ngày trùng",IF(COUNT(E72:H72)&lt;4,"Cần nhập đủ 4 khoản chi",IF(MIN(E72:H72)&lt;0,"Cần rà soát khoản chi âm",IF(O72&lt;&gt;"Đã phê duyệt","Cần đối chiếu phê duyệt",IF(NOT(ISNUMBER(J72)),"Cần ghi phần dự phòng",IF(OR(J72&lt;0,J72&gt;I72),"Cần rà soát số tiền dự phòng",IF(AND(B72="G4",NOT(ISNUMBER('01_Thiet_lap'!$D$24))),"Cần chốt dự phòng cấp 2",IF(AND(B72&lt;&gt;"G4",J72&gt;'01_Thiet_lap'!$D$10),"Cần rà soát mức dự phòng",IF(AND(B72="G4",ISNUMBER('01_Thiet_lap'!$D$24),J72&gt;'01_Thiet_lap'!$D$24),"Cần rà soát dự phòng cấp 2",IF(AND(J72&gt;0,Q72=""),"Cần bổ sung lý do dùng dự phòng",IF(C72&lt;&gt;"Hợp lệ","Chi phát sinh ngoài ngày hợp lệ",IF(NOT(ISNUMBER(M72)),"Chờ xác nhận thuế/phí",IF(I72&gt;D72,"Cần rà soát mức chi trong ngày","Đã ghi nhận"))))))))))))))))</f>
        <v/>
      </c>
      <c r="Q72" s="43" t="n"/>
      <c r="R72" s="43" t="n"/>
      <c r="S72" s="129">
        <f>IF(AND(ISNUMBER(A72),COUNTIF('02_Lo_trinh'!$A$7:$A$11,B72)=1,C72="Hợp lệ",COUNT(E72:H72)=4,I72&gt;0,COUNTIF($A$7:$A$96,A72)=1),1,0)</f>
        <v/>
      </c>
    </row>
    <row r="73" ht="38" customHeight="1">
      <c r="A73" s="130" t="inlineStr">
        <is>
          <t>[Chưa chốt]</t>
        </is>
      </c>
      <c r="B73" s="43" t="n"/>
      <c r="C73" s="43" t="inlineStr">
        <is>
          <t>Chưa xác nhận</t>
        </is>
      </c>
      <c r="D73" s="128">
        <f>IF(B73="","",IFERROR(VLOOKUP(B73,'02_Lo_trinh'!$A$7:$N$11,6,FALSE),""))</f>
        <v/>
      </c>
      <c r="E73" s="132" t="n"/>
      <c r="F73" s="132" t="n"/>
      <c r="G73" s="132" t="n"/>
      <c r="H73" s="132" t="n"/>
      <c r="I73" s="128">
        <f>IF(COUNT(E73:H73)=0,"",SUM(E73:H73))</f>
        <v/>
      </c>
      <c r="J73" s="132" t="n"/>
      <c r="K73" s="128">
        <f>IF(OR(S73&lt;&gt;1,NOT(ISNUMBER(J73)),J73&lt;0,J73&gt;I73),"",IF(B73="G4",IF(ISNUMBER('01_Thiet_lap'!$D$24),MAX(0,'01_Thiet_lap'!$D$24-J73),""),MAX(0,'01_Thiet_lap'!$D$10-J73)))</f>
        <v/>
      </c>
      <c r="L73" s="128">
        <f>IF(AND(ISNUMBER(I73),ISNUMBER(D73)),D73-I73,"")</f>
        <v/>
      </c>
      <c r="M73" s="132" t="n"/>
      <c r="N73" s="128">
        <f>IF(AND(ISNUMBER(I73),ISNUMBER(M73)),I73+M73,"")</f>
        <v/>
      </c>
      <c r="O73" s="38">
        <f>IF(B73="","",IFERROR(VLOOKUP(B73,'02_Lo_trinh'!$A$7:$N$11,10,FALSE),"Cần chọn lại giai đoạn"))</f>
        <v/>
      </c>
      <c r="P73" s="38">
        <f>IF(COUNT(E73:H73,M73)=0,"",IF(NOT(ISNUMBER(A73)),"Cần cập nhật ngày",IF(COUNTIF('02_Lo_trinh'!$A$7:$A$11,B73)&lt;&gt;1,"Cần chọn giai đoạn",IF(COUNTIF($A$7:$A$96,A73)&gt;1,"Cần rà soát ngày trùng",IF(COUNT(E73:H73)&lt;4,"Cần nhập đủ 4 khoản chi",IF(MIN(E73:H73)&lt;0,"Cần rà soát khoản chi âm",IF(O73&lt;&gt;"Đã phê duyệt","Cần đối chiếu phê duyệt",IF(NOT(ISNUMBER(J73)),"Cần ghi phần dự phòng",IF(OR(J73&lt;0,J73&gt;I73),"Cần rà soát số tiền dự phòng",IF(AND(B73="G4",NOT(ISNUMBER('01_Thiet_lap'!$D$24))),"Cần chốt dự phòng cấp 2",IF(AND(B73&lt;&gt;"G4",J73&gt;'01_Thiet_lap'!$D$10),"Cần rà soát mức dự phòng",IF(AND(B73="G4",ISNUMBER('01_Thiet_lap'!$D$24),J73&gt;'01_Thiet_lap'!$D$24),"Cần rà soát dự phòng cấp 2",IF(AND(J73&gt;0,Q73=""),"Cần bổ sung lý do dùng dự phòng",IF(C73&lt;&gt;"Hợp lệ","Chi phát sinh ngoài ngày hợp lệ",IF(NOT(ISNUMBER(M73)),"Chờ xác nhận thuế/phí",IF(I73&gt;D73,"Cần rà soát mức chi trong ngày","Đã ghi nhận"))))))))))))))))</f>
        <v/>
      </c>
      <c r="Q73" s="43" t="n"/>
      <c r="R73" s="43" t="n"/>
      <c r="S73" s="129">
        <f>IF(AND(ISNUMBER(A73),COUNTIF('02_Lo_trinh'!$A$7:$A$11,B73)=1,C73="Hợp lệ",COUNT(E73:H73)=4,I73&gt;0,COUNTIF($A$7:$A$96,A73)=1),1,0)</f>
        <v/>
      </c>
    </row>
    <row r="74" ht="38" customHeight="1">
      <c r="A74" s="130" t="inlineStr">
        <is>
          <t>[Chưa chốt]</t>
        </is>
      </c>
      <c r="B74" s="43" t="n"/>
      <c r="C74" s="43" t="inlineStr">
        <is>
          <t>Chưa xác nhận</t>
        </is>
      </c>
      <c r="D74" s="128">
        <f>IF(B74="","",IFERROR(VLOOKUP(B74,'02_Lo_trinh'!$A$7:$N$11,6,FALSE),""))</f>
        <v/>
      </c>
      <c r="E74" s="132" t="n"/>
      <c r="F74" s="132" t="n"/>
      <c r="G74" s="132" t="n"/>
      <c r="H74" s="132" t="n"/>
      <c r="I74" s="128">
        <f>IF(COUNT(E74:H74)=0,"",SUM(E74:H74))</f>
        <v/>
      </c>
      <c r="J74" s="132" t="n"/>
      <c r="K74" s="128">
        <f>IF(OR(S74&lt;&gt;1,NOT(ISNUMBER(J74)),J74&lt;0,J74&gt;I74),"",IF(B74="G4",IF(ISNUMBER('01_Thiet_lap'!$D$24),MAX(0,'01_Thiet_lap'!$D$24-J74),""),MAX(0,'01_Thiet_lap'!$D$10-J74)))</f>
        <v/>
      </c>
      <c r="L74" s="128">
        <f>IF(AND(ISNUMBER(I74),ISNUMBER(D74)),D74-I74,"")</f>
        <v/>
      </c>
      <c r="M74" s="132" t="n"/>
      <c r="N74" s="128">
        <f>IF(AND(ISNUMBER(I74),ISNUMBER(M74)),I74+M74,"")</f>
        <v/>
      </c>
      <c r="O74" s="38">
        <f>IF(B74="","",IFERROR(VLOOKUP(B74,'02_Lo_trinh'!$A$7:$N$11,10,FALSE),"Cần chọn lại giai đoạn"))</f>
        <v/>
      </c>
      <c r="P74" s="38">
        <f>IF(COUNT(E74:H74,M74)=0,"",IF(NOT(ISNUMBER(A74)),"Cần cập nhật ngày",IF(COUNTIF('02_Lo_trinh'!$A$7:$A$11,B74)&lt;&gt;1,"Cần chọn giai đoạn",IF(COUNTIF($A$7:$A$96,A74)&gt;1,"Cần rà soát ngày trùng",IF(COUNT(E74:H74)&lt;4,"Cần nhập đủ 4 khoản chi",IF(MIN(E74:H74)&lt;0,"Cần rà soát khoản chi âm",IF(O74&lt;&gt;"Đã phê duyệt","Cần đối chiếu phê duyệt",IF(NOT(ISNUMBER(J74)),"Cần ghi phần dự phòng",IF(OR(J74&lt;0,J74&gt;I74),"Cần rà soát số tiền dự phòng",IF(AND(B74="G4",NOT(ISNUMBER('01_Thiet_lap'!$D$24))),"Cần chốt dự phòng cấp 2",IF(AND(B74&lt;&gt;"G4",J74&gt;'01_Thiet_lap'!$D$10),"Cần rà soát mức dự phòng",IF(AND(B74="G4",ISNUMBER('01_Thiet_lap'!$D$24),J74&gt;'01_Thiet_lap'!$D$24),"Cần rà soát dự phòng cấp 2",IF(AND(J74&gt;0,Q74=""),"Cần bổ sung lý do dùng dự phòng",IF(C74&lt;&gt;"Hợp lệ","Chi phát sinh ngoài ngày hợp lệ",IF(NOT(ISNUMBER(M74)),"Chờ xác nhận thuế/phí",IF(I74&gt;D74,"Cần rà soát mức chi trong ngày","Đã ghi nhận"))))))))))))))))</f>
        <v/>
      </c>
      <c r="Q74" s="43" t="n"/>
      <c r="R74" s="43" t="n"/>
      <c r="S74" s="129">
        <f>IF(AND(ISNUMBER(A74),COUNTIF('02_Lo_trinh'!$A$7:$A$11,B74)=1,C74="Hợp lệ",COUNT(E74:H74)=4,I74&gt;0,COUNTIF($A$7:$A$96,A74)=1),1,0)</f>
        <v/>
      </c>
    </row>
    <row r="75" ht="38" customHeight="1">
      <c r="A75" s="130" t="inlineStr">
        <is>
          <t>[Chưa chốt]</t>
        </is>
      </c>
      <c r="B75" s="43" t="n"/>
      <c r="C75" s="43" t="inlineStr">
        <is>
          <t>Chưa xác nhận</t>
        </is>
      </c>
      <c r="D75" s="128">
        <f>IF(B75="","",IFERROR(VLOOKUP(B75,'02_Lo_trinh'!$A$7:$N$11,6,FALSE),""))</f>
        <v/>
      </c>
      <c r="E75" s="132" t="n"/>
      <c r="F75" s="132" t="n"/>
      <c r="G75" s="132" t="n"/>
      <c r="H75" s="132" t="n"/>
      <c r="I75" s="128">
        <f>IF(COUNT(E75:H75)=0,"",SUM(E75:H75))</f>
        <v/>
      </c>
      <c r="J75" s="132" t="n"/>
      <c r="K75" s="128">
        <f>IF(OR(S75&lt;&gt;1,NOT(ISNUMBER(J75)),J75&lt;0,J75&gt;I75),"",IF(B75="G4",IF(ISNUMBER('01_Thiet_lap'!$D$24),MAX(0,'01_Thiet_lap'!$D$24-J75),""),MAX(0,'01_Thiet_lap'!$D$10-J75)))</f>
        <v/>
      </c>
      <c r="L75" s="128">
        <f>IF(AND(ISNUMBER(I75),ISNUMBER(D75)),D75-I75,"")</f>
        <v/>
      </c>
      <c r="M75" s="132" t="n"/>
      <c r="N75" s="128">
        <f>IF(AND(ISNUMBER(I75),ISNUMBER(M75)),I75+M75,"")</f>
        <v/>
      </c>
      <c r="O75" s="38">
        <f>IF(B75="","",IFERROR(VLOOKUP(B75,'02_Lo_trinh'!$A$7:$N$11,10,FALSE),"Cần chọn lại giai đoạn"))</f>
        <v/>
      </c>
      <c r="P75" s="38">
        <f>IF(COUNT(E75:H75,M75)=0,"",IF(NOT(ISNUMBER(A75)),"Cần cập nhật ngày",IF(COUNTIF('02_Lo_trinh'!$A$7:$A$11,B75)&lt;&gt;1,"Cần chọn giai đoạn",IF(COUNTIF($A$7:$A$96,A75)&gt;1,"Cần rà soát ngày trùng",IF(COUNT(E75:H75)&lt;4,"Cần nhập đủ 4 khoản chi",IF(MIN(E75:H75)&lt;0,"Cần rà soát khoản chi âm",IF(O75&lt;&gt;"Đã phê duyệt","Cần đối chiếu phê duyệt",IF(NOT(ISNUMBER(J75)),"Cần ghi phần dự phòng",IF(OR(J75&lt;0,J75&gt;I75),"Cần rà soát số tiền dự phòng",IF(AND(B75="G4",NOT(ISNUMBER('01_Thiet_lap'!$D$24))),"Cần chốt dự phòng cấp 2",IF(AND(B75&lt;&gt;"G4",J75&gt;'01_Thiet_lap'!$D$10),"Cần rà soát mức dự phòng",IF(AND(B75="G4",ISNUMBER('01_Thiet_lap'!$D$24),J75&gt;'01_Thiet_lap'!$D$24),"Cần rà soát dự phòng cấp 2",IF(AND(J75&gt;0,Q75=""),"Cần bổ sung lý do dùng dự phòng",IF(C75&lt;&gt;"Hợp lệ","Chi phát sinh ngoài ngày hợp lệ",IF(NOT(ISNUMBER(M75)),"Chờ xác nhận thuế/phí",IF(I75&gt;D75,"Cần rà soát mức chi trong ngày","Đã ghi nhận"))))))))))))))))</f>
        <v/>
      </c>
      <c r="Q75" s="43" t="n"/>
      <c r="R75" s="43" t="n"/>
      <c r="S75" s="129">
        <f>IF(AND(ISNUMBER(A75),COUNTIF('02_Lo_trinh'!$A$7:$A$11,B75)=1,C75="Hợp lệ",COUNT(E75:H75)=4,I75&gt;0,COUNTIF($A$7:$A$96,A75)=1),1,0)</f>
        <v/>
      </c>
    </row>
    <row r="76" ht="38" customHeight="1">
      <c r="A76" s="130" t="inlineStr">
        <is>
          <t>[Chưa chốt]</t>
        </is>
      </c>
      <c r="B76" s="43" t="n"/>
      <c r="C76" s="43" t="inlineStr">
        <is>
          <t>Chưa xác nhận</t>
        </is>
      </c>
      <c r="D76" s="128">
        <f>IF(B76="","",IFERROR(VLOOKUP(B76,'02_Lo_trinh'!$A$7:$N$11,6,FALSE),""))</f>
        <v/>
      </c>
      <c r="E76" s="132" t="n"/>
      <c r="F76" s="132" t="n"/>
      <c r="G76" s="132" t="n"/>
      <c r="H76" s="132" t="n"/>
      <c r="I76" s="128">
        <f>IF(COUNT(E76:H76)=0,"",SUM(E76:H76))</f>
        <v/>
      </c>
      <c r="J76" s="132" t="n"/>
      <c r="K76" s="128">
        <f>IF(OR(S76&lt;&gt;1,NOT(ISNUMBER(J76)),J76&lt;0,J76&gt;I76),"",IF(B76="G4",IF(ISNUMBER('01_Thiet_lap'!$D$24),MAX(0,'01_Thiet_lap'!$D$24-J76),""),MAX(0,'01_Thiet_lap'!$D$10-J76)))</f>
        <v/>
      </c>
      <c r="L76" s="128">
        <f>IF(AND(ISNUMBER(I76),ISNUMBER(D76)),D76-I76,"")</f>
        <v/>
      </c>
      <c r="M76" s="132" t="n"/>
      <c r="N76" s="128">
        <f>IF(AND(ISNUMBER(I76),ISNUMBER(M76)),I76+M76,"")</f>
        <v/>
      </c>
      <c r="O76" s="38">
        <f>IF(B76="","",IFERROR(VLOOKUP(B76,'02_Lo_trinh'!$A$7:$N$11,10,FALSE),"Cần chọn lại giai đoạn"))</f>
        <v/>
      </c>
      <c r="P76" s="38">
        <f>IF(COUNT(E76:H76,M76)=0,"",IF(NOT(ISNUMBER(A76)),"Cần cập nhật ngày",IF(COUNTIF('02_Lo_trinh'!$A$7:$A$11,B76)&lt;&gt;1,"Cần chọn giai đoạn",IF(COUNTIF($A$7:$A$96,A76)&gt;1,"Cần rà soát ngày trùng",IF(COUNT(E76:H76)&lt;4,"Cần nhập đủ 4 khoản chi",IF(MIN(E76:H76)&lt;0,"Cần rà soát khoản chi âm",IF(O76&lt;&gt;"Đã phê duyệt","Cần đối chiếu phê duyệt",IF(NOT(ISNUMBER(J76)),"Cần ghi phần dự phòng",IF(OR(J76&lt;0,J76&gt;I76),"Cần rà soát số tiền dự phòng",IF(AND(B76="G4",NOT(ISNUMBER('01_Thiet_lap'!$D$24))),"Cần chốt dự phòng cấp 2",IF(AND(B76&lt;&gt;"G4",J76&gt;'01_Thiet_lap'!$D$10),"Cần rà soát mức dự phòng",IF(AND(B76="G4",ISNUMBER('01_Thiet_lap'!$D$24),J76&gt;'01_Thiet_lap'!$D$24),"Cần rà soát dự phòng cấp 2",IF(AND(J76&gt;0,Q76=""),"Cần bổ sung lý do dùng dự phòng",IF(C76&lt;&gt;"Hợp lệ","Chi phát sinh ngoài ngày hợp lệ",IF(NOT(ISNUMBER(M76)),"Chờ xác nhận thuế/phí",IF(I76&gt;D76,"Cần rà soát mức chi trong ngày","Đã ghi nhận"))))))))))))))))</f>
        <v/>
      </c>
      <c r="Q76" s="43" t="n"/>
      <c r="R76" s="43" t="n"/>
      <c r="S76" s="129">
        <f>IF(AND(ISNUMBER(A76),COUNTIF('02_Lo_trinh'!$A$7:$A$11,B76)=1,C76="Hợp lệ",COUNT(E76:H76)=4,I76&gt;0,COUNTIF($A$7:$A$96,A76)=1),1,0)</f>
        <v/>
      </c>
    </row>
    <row r="77" ht="38" customHeight="1">
      <c r="A77" s="130" t="inlineStr">
        <is>
          <t>[Chưa chốt]</t>
        </is>
      </c>
      <c r="B77" s="43" t="n"/>
      <c r="C77" s="43" t="inlineStr">
        <is>
          <t>Chưa xác nhận</t>
        </is>
      </c>
      <c r="D77" s="128">
        <f>IF(B77="","",IFERROR(VLOOKUP(B77,'02_Lo_trinh'!$A$7:$N$11,6,FALSE),""))</f>
        <v/>
      </c>
      <c r="E77" s="132" t="n"/>
      <c r="F77" s="132" t="n"/>
      <c r="G77" s="132" t="n"/>
      <c r="H77" s="132" t="n"/>
      <c r="I77" s="128">
        <f>IF(COUNT(E77:H77)=0,"",SUM(E77:H77))</f>
        <v/>
      </c>
      <c r="J77" s="132" t="n"/>
      <c r="K77" s="128">
        <f>IF(OR(S77&lt;&gt;1,NOT(ISNUMBER(J77)),J77&lt;0,J77&gt;I77),"",IF(B77="G4",IF(ISNUMBER('01_Thiet_lap'!$D$24),MAX(0,'01_Thiet_lap'!$D$24-J77),""),MAX(0,'01_Thiet_lap'!$D$10-J77)))</f>
        <v/>
      </c>
      <c r="L77" s="128">
        <f>IF(AND(ISNUMBER(I77),ISNUMBER(D77)),D77-I77,"")</f>
        <v/>
      </c>
      <c r="M77" s="132" t="n"/>
      <c r="N77" s="128">
        <f>IF(AND(ISNUMBER(I77),ISNUMBER(M77)),I77+M77,"")</f>
        <v/>
      </c>
      <c r="O77" s="38">
        <f>IF(B77="","",IFERROR(VLOOKUP(B77,'02_Lo_trinh'!$A$7:$N$11,10,FALSE),"Cần chọn lại giai đoạn"))</f>
        <v/>
      </c>
      <c r="P77" s="38">
        <f>IF(COUNT(E77:H77,M77)=0,"",IF(NOT(ISNUMBER(A77)),"Cần cập nhật ngày",IF(COUNTIF('02_Lo_trinh'!$A$7:$A$11,B77)&lt;&gt;1,"Cần chọn giai đoạn",IF(COUNTIF($A$7:$A$96,A77)&gt;1,"Cần rà soát ngày trùng",IF(COUNT(E77:H77)&lt;4,"Cần nhập đủ 4 khoản chi",IF(MIN(E77:H77)&lt;0,"Cần rà soát khoản chi âm",IF(O77&lt;&gt;"Đã phê duyệt","Cần đối chiếu phê duyệt",IF(NOT(ISNUMBER(J77)),"Cần ghi phần dự phòng",IF(OR(J77&lt;0,J77&gt;I77),"Cần rà soát số tiền dự phòng",IF(AND(B77="G4",NOT(ISNUMBER('01_Thiet_lap'!$D$24))),"Cần chốt dự phòng cấp 2",IF(AND(B77&lt;&gt;"G4",J77&gt;'01_Thiet_lap'!$D$10),"Cần rà soát mức dự phòng",IF(AND(B77="G4",ISNUMBER('01_Thiet_lap'!$D$24),J77&gt;'01_Thiet_lap'!$D$24),"Cần rà soát dự phòng cấp 2",IF(AND(J77&gt;0,Q77=""),"Cần bổ sung lý do dùng dự phòng",IF(C77&lt;&gt;"Hợp lệ","Chi phát sinh ngoài ngày hợp lệ",IF(NOT(ISNUMBER(M77)),"Chờ xác nhận thuế/phí",IF(I77&gt;D77,"Cần rà soát mức chi trong ngày","Đã ghi nhận"))))))))))))))))</f>
        <v/>
      </c>
      <c r="Q77" s="43" t="n"/>
      <c r="R77" s="43" t="n"/>
      <c r="S77" s="129">
        <f>IF(AND(ISNUMBER(A77),COUNTIF('02_Lo_trinh'!$A$7:$A$11,B77)=1,C77="Hợp lệ",COUNT(E77:H77)=4,I77&gt;0,COUNTIF($A$7:$A$96,A77)=1),1,0)</f>
        <v/>
      </c>
    </row>
    <row r="78" ht="38" customHeight="1">
      <c r="A78" s="130" t="inlineStr">
        <is>
          <t>[Chưa chốt]</t>
        </is>
      </c>
      <c r="B78" s="43" t="n"/>
      <c r="C78" s="43" t="inlineStr">
        <is>
          <t>Chưa xác nhận</t>
        </is>
      </c>
      <c r="D78" s="128">
        <f>IF(B78="","",IFERROR(VLOOKUP(B78,'02_Lo_trinh'!$A$7:$N$11,6,FALSE),""))</f>
        <v/>
      </c>
      <c r="E78" s="132" t="n"/>
      <c r="F78" s="132" t="n"/>
      <c r="G78" s="132" t="n"/>
      <c r="H78" s="132" t="n"/>
      <c r="I78" s="128">
        <f>IF(COUNT(E78:H78)=0,"",SUM(E78:H78))</f>
        <v/>
      </c>
      <c r="J78" s="132" t="n"/>
      <c r="K78" s="128">
        <f>IF(OR(S78&lt;&gt;1,NOT(ISNUMBER(J78)),J78&lt;0,J78&gt;I78),"",IF(B78="G4",IF(ISNUMBER('01_Thiet_lap'!$D$24),MAX(0,'01_Thiet_lap'!$D$24-J78),""),MAX(0,'01_Thiet_lap'!$D$10-J78)))</f>
        <v/>
      </c>
      <c r="L78" s="128">
        <f>IF(AND(ISNUMBER(I78),ISNUMBER(D78)),D78-I78,"")</f>
        <v/>
      </c>
      <c r="M78" s="132" t="n"/>
      <c r="N78" s="128">
        <f>IF(AND(ISNUMBER(I78),ISNUMBER(M78)),I78+M78,"")</f>
        <v/>
      </c>
      <c r="O78" s="38">
        <f>IF(B78="","",IFERROR(VLOOKUP(B78,'02_Lo_trinh'!$A$7:$N$11,10,FALSE),"Cần chọn lại giai đoạn"))</f>
        <v/>
      </c>
      <c r="P78" s="38">
        <f>IF(COUNT(E78:H78,M78)=0,"",IF(NOT(ISNUMBER(A78)),"Cần cập nhật ngày",IF(COUNTIF('02_Lo_trinh'!$A$7:$A$11,B78)&lt;&gt;1,"Cần chọn giai đoạn",IF(COUNTIF($A$7:$A$96,A78)&gt;1,"Cần rà soát ngày trùng",IF(COUNT(E78:H78)&lt;4,"Cần nhập đủ 4 khoản chi",IF(MIN(E78:H78)&lt;0,"Cần rà soát khoản chi âm",IF(O78&lt;&gt;"Đã phê duyệt","Cần đối chiếu phê duyệt",IF(NOT(ISNUMBER(J78)),"Cần ghi phần dự phòng",IF(OR(J78&lt;0,J78&gt;I78),"Cần rà soát số tiền dự phòng",IF(AND(B78="G4",NOT(ISNUMBER('01_Thiet_lap'!$D$24))),"Cần chốt dự phòng cấp 2",IF(AND(B78&lt;&gt;"G4",J78&gt;'01_Thiet_lap'!$D$10),"Cần rà soát mức dự phòng",IF(AND(B78="G4",ISNUMBER('01_Thiet_lap'!$D$24),J78&gt;'01_Thiet_lap'!$D$24),"Cần rà soát dự phòng cấp 2",IF(AND(J78&gt;0,Q78=""),"Cần bổ sung lý do dùng dự phòng",IF(C78&lt;&gt;"Hợp lệ","Chi phát sinh ngoài ngày hợp lệ",IF(NOT(ISNUMBER(M78)),"Chờ xác nhận thuế/phí",IF(I78&gt;D78,"Cần rà soát mức chi trong ngày","Đã ghi nhận"))))))))))))))))</f>
        <v/>
      </c>
      <c r="Q78" s="43" t="n"/>
      <c r="R78" s="43" t="n"/>
      <c r="S78" s="129">
        <f>IF(AND(ISNUMBER(A78),COUNTIF('02_Lo_trinh'!$A$7:$A$11,B78)=1,C78="Hợp lệ",COUNT(E78:H78)=4,I78&gt;0,COUNTIF($A$7:$A$96,A78)=1),1,0)</f>
        <v/>
      </c>
    </row>
    <row r="79" ht="38" customHeight="1">
      <c r="A79" s="130" t="inlineStr">
        <is>
          <t>[Chưa chốt]</t>
        </is>
      </c>
      <c r="B79" s="43" t="n"/>
      <c r="C79" s="43" t="inlineStr">
        <is>
          <t>Chưa xác nhận</t>
        </is>
      </c>
      <c r="D79" s="128">
        <f>IF(B79="","",IFERROR(VLOOKUP(B79,'02_Lo_trinh'!$A$7:$N$11,6,FALSE),""))</f>
        <v/>
      </c>
      <c r="E79" s="132" t="n"/>
      <c r="F79" s="132" t="n"/>
      <c r="G79" s="132" t="n"/>
      <c r="H79" s="132" t="n"/>
      <c r="I79" s="128">
        <f>IF(COUNT(E79:H79)=0,"",SUM(E79:H79))</f>
        <v/>
      </c>
      <c r="J79" s="132" t="n"/>
      <c r="K79" s="128">
        <f>IF(OR(S79&lt;&gt;1,NOT(ISNUMBER(J79)),J79&lt;0,J79&gt;I79),"",IF(B79="G4",IF(ISNUMBER('01_Thiet_lap'!$D$24),MAX(0,'01_Thiet_lap'!$D$24-J79),""),MAX(0,'01_Thiet_lap'!$D$10-J79)))</f>
        <v/>
      </c>
      <c r="L79" s="128">
        <f>IF(AND(ISNUMBER(I79),ISNUMBER(D79)),D79-I79,"")</f>
        <v/>
      </c>
      <c r="M79" s="132" t="n"/>
      <c r="N79" s="128">
        <f>IF(AND(ISNUMBER(I79),ISNUMBER(M79)),I79+M79,"")</f>
        <v/>
      </c>
      <c r="O79" s="38">
        <f>IF(B79="","",IFERROR(VLOOKUP(B79,'02_Lo_trinh'!$A$7:$N$11,10,FALSE),"Cần chọn lại giai đoạn"))</f>
        <v/>
      </c>
      <c r="P79" s="38">
        <f>IF(COUNT(E79:H79,M79)=0,"",IF(NOT(ISNUMBER(A79)),"Cần cập nhật ngày",IF(COUNTIF('02_Lo_trinh'!$A$7:$A$11,B79)&lt;&gt;1,"Cần chọn giai đoạn",IF(COUNTIF($A$7:$A$96,A79)&gt;1,"Cần rà soát ngày trùng",IF(COUNT(E79:H79)&lt;4,"Cần nhập đủ 4 khoản chi",IF(MIN(E79:H79)&lt;0,"Cần rà soát khoản chi âm",IF(O79&lt;&gt;"Đã phê duyệt","Cần đối chiếu phê duyệt",IF(NOT(ISNUMBER(J79)),"Cần ghi phần dự phòng",IF(OR(J79&lt;0,J79&gt;I79),"Cần rà soát số tiền dự phòng",IF(AND(B79="G4",NOT(ISNUMBER('01_Thiet_lap'!$D$24))),"Cần chốt dự phòng cấp 2",IF(AND(B79&lt;&gt;"G4",J79&gt;'01_Thiet_lap'!$D$10),"Cần rà soát mức dự phòng",IF(AND(B79="G4",ISNUMBER('01_Thiet_lap'!$D$24),J79&gt;'01_Thiet_lap'!$D$24),"Cần rà soát dự phòng cấp 2",IF(AND(J79&gt;0,Q79=""),"Cần bổ sung lý do dùng dự phòng",IF(C79&lt;&gt;"Hợp lệ","Chi phát sinh ngoài ngày hợp lệ",IF(NOT(ISNUMBER(M79)),"Chờ xác nhận thuế/phí",IF(I79&gt;D79,"Cần rà soát mức chi trong ngày","Đã ghi nhận"))))))))))))))))</f>
        <v/>
      </c>
      <c r="Q79" s="43" t="n"/>
      <c r="R79" s="43" t="n"/>
      <c r="S79" s="129">
        <f>IF(AND(ISNUMBER(A79),COUNTIF('02_Lo_trinh'!$A$7:$A$11,B79)=1,C79="Hợp lệ",COUNT(E79:H79)=4,I79&gt;0,COUNTIF($A$7:$A$96,A79)=1),1,0)</f>
        <v/>
      </c>
    </row>
    <row r="80" ht="38" customHeight="1">
      <c r="A80" s="130" t="inlineStr">
        <is>
          <t>[Chưa chốt]</t>
        </is>
      </c>
      <c r="B80" s="43" t="n"/>
      <c r="C80" s="43" t="inlineStr">
        <is>
          <t>Chưa xác nhận</t>
        </is>
      </c>
      <c r="D80" s="128">
        <f>IF(B80="","",IFERROR(VLOOKUP(B80,'02_Lo_trinh'!$A$7:$N$11,6,FALSE),""))</f>
        <v/>
      </c>
      <c r="E80" s="132" t="n"/>
      <c r="F80" s="132" t="n"/>
      <c r="G80" s="132" t="n"/>
      <c r="H80" s="132" t="n"/>
      <c r="I80" s="128">
        <f>IF(COUNT(E80:H80)=0,"",SUM(E80:H80))</f>
        <v/>
      </c>
      <c r="J80" s="132" t="n"/>
      <c r="K80" s="128">
        <f>IF(OR(S80&lt;&gt;1,NOT(ISNUMBER(J80)),J80&lt;0,J80&gt;I80),"",IF(B80="G4",IF(ISNUMBER('01_Thiet_lap'!$D$24),MAX(0,'01_Thiet_lap'!$D$24-J80),""),MAX(0,'01_Thiet_lap'!$D$10-J80)))</f>
        <v/>
      </c>
      <c r="L80" s="128">
        <f>IF(AND(ISNUMBER(I80),ISNUMBER(D80)),D80-I80,"")</f>
        <v/>
      </c>
      <c r="M80" s="132" t="n"/>
      <c r="N80" s="128">
        <f>IF(AND(ISNUMBER(I80),ISNUMBER(M80)),I80+M80,"")</f>
        <v/>
      </c>
      <c r="O80" s="38">
        <f>IF(B80="","",IFERROR(VLOOKUP(B80,'02_Lo_trinh'!$A$7:$N$11,10,FALSE),"Cần chọn lại giai đoạn"))</f>
        <v/>
      </c>
      <c r="P80" s="38">
        <f>IF(COUNT(E80:H80,M80)=0,"",IF(NOT(ISNUMBER(A80)),"Cần cập nhật ngày",IF(COUNTIF('02_Lo_trinh'!$A$7:$A$11,B80)&lt;&gt;1,"Cần chọn giai đoạn",IF(COUNTIF($A$7:$A$96,A80)&gt;1,"Cần rà soát ngày trùng",IF(COUNT(E80:H80)&lt;4,"Cần nhập đủ 4 khoản chi",IF(MIN(E80:H80)&lt;0,"Cần rà soát khoản chi âm",IF(O80&lt;&gt;"Đã phê duyệt","Cần đối chiếu phê duyệt",IF(NOT(ISNUMBER(J80)),"Cần ghi phần dự phòng",IF(OR(J80&lt;0,J80&gt;I80),"Cần rà soát số tiền dự phòng",IF(AND(B80="G4",NOT(ISNUMBER('01_Thiet_lap'!$D$24))),"Cần chốt dự phòng cấp 2",IF(AND(B80&lt;&gt;"G4",J80&gt;'01_Thiet_lap'!$D$10),"Cần rà soát mức dự phòng",IF(AND(B80="G4",ISNUMBER('01_Thiet_lap'!$D$24),J80&gt;'01_Thiet_lap'!$D$24),"Cần rà soát dự phòng cấp 2",IF(AND(J80&gt;0,Q80=""),"Cần bổ sung lý do dùng dự phòng",IF(C80&lt;&gt;"Hợp lệ","Chi phát sinh ngoài ngày hợp lệ",IF(NOT(ISNUMBER(M80)),"Chờ xác nhận thuế/phí",IF(I80&gt;D80,"Cần rà soát mức chi trong ngày","Đã ghi nhận"))))))))))))))))</f>
        <v/>
      </c>
      <c r="Q80" s="43" t="n"/>
      <c r="R80" s="43" t="n"/>
      <c r="S80" s="129">
        <f>IF(AND(ISNUMBER(A80),COUNTIF('02_Lo_trinh'!$A$7:$A$11,B80)=1,C80="Hợp lệ",COUNT(E80:H80)=4,I80&gt;0,COUNTIF($A$7:$A$96,A80)=1),1,0)</f>
        <v/>
      </c>
    </row>
    <row r="81" ht="38" customHeight="1">
      <c r="A81" s="130" t="inlineStr">
        <is>
          <t>[Chưa chốt]</t>
        </is>
      </c>
      <c r="B81" s="43" t="n"/>
      <c r="C81" s="43" t="inlineStr">
        <is>
          <t>Chưa xác nhận</t>
        </is>
      </c>
      <c r="D81" s="128">
        <f>IF(B81="","",IFERROR(VLOOKUP(B81,'02_Lo_trinh'!$A$7:$N$11,6,FALSE),""))</f>
        <v/>
      </c>
      <c r="E81" s="132" t="n"/>
      <c r="F81" s="132" t="n"/>
      <c r="G81" s="132" t="n"/>
      <c r="H81" s="132" t="n"/>
      <c r="I81" s="128">
        <f>IF(COUNT(E81:H81)=0,"",SUM(E81:H81))</f>
        <v/>
      </c>
      <c r="J81" s="132" t="n"/>
      <c r="K81" s="128">
        <f>IF(OR(S81&lt;&gt;1,NOT(ISNUMBER(J81)),J81&lt;0,J81&gt;I81),"",IF(B81="G4",IF(ISNUMBER('01_Thiet_lap'!$D$24),MAX(0,'01_Thiet_lap'!$D$24-J81),""),MAX(0,'01_Thiet_lap'!$D$10-J81)))</f>
        <v/>
      </c>
      <c r="L81" s="128">
        <f>IF(AND(ISNUMBER(I81),ISNUMBER(D81)),D81-I81,"")</f>
        <v/>
      </c>
      <c r="M81" s="132" t="n"/>
      <c r="N81" s="128">
        <f>IF(AND(ISNUMBER(I81),ISNUMBER(M81)),I81+M81,"")</f>
        <v/>
      </c>
      <c r="O81" s="38">
        <f>IF(B81="","",IFERROR(VLOOKUP(B81,'02_Lo_trinh'!$A$7:$N$11,10,FALSE),"Cần chọn lại giai đoạn"))</f>
        <v/>
      </c>
      <c r="P81" s="38">
        <f>IF(COUNT(E81:H81,M81)=0,"",IF(NOT(ISNUMBER(A81)),"Cần cập nhật ngày",IF(COUNTIF('02_Lo_trinh'!$A$7:$A$11,B81)&lt;&gt;1,"Cần chọn giai đoạn",IF(COUNTIF($A$7:$A$96,A81)&gt;1,"Cần rà soát ngày trùng",IF(COUNT(E81:H81)&lt;4,"Cần nhập đủ 4 khoản chi",IF(MIN(E81:H81)&lt;0,"Cần rà soát khoản chi âm",IF(O81&lt;&gt;"Đã phê duyệt","Cần đối chiếu phê duyệt",IF(NOT(ISNUMBER(J81)),"Cần ghi phần dự phòng",IF(OR(J81&lt;0,J81&gt;I81),"Cần rà soát số tiền dự phòng",IF(AND(B81="G4",NOT(ISNUMBER('01_Thiet_lap'!$D$24))),"Cần chốt dự phòng cấp 2",IF(AND(B81&lt;&gt;"G4",J81&gt;'01_Thiet_lap'!$D$10),"Cần rà soát mức dự phòng",IF(AND(B81="G4",ISNUMBER('01_Thiet_lap'!$D$24),J81&gt;'01_Thiet_lap'!$D$24),"Cần rà soát dự phòng cấp 2",IF(AND(J81&gt;0,Q81=""),"Cần bổ sung lý do dùng dự phòng",IF(C81&lt;&gt;"Hợp lệ","Chi phát sinh ngoài ngày hợp lệ",IF(NOT(ISNUMBER(M81)),"Chờ xác nhận thuế/phí",IF(I81&gt;D81,"Cần rà soát mức chi trong ngày","Đã ghi nhận"))))))))))))))))</f>
        <v/>
      </c>
      <c r="Q81" s="43" t="n"/>
      <c r="R81" s="43" t="n"/>
      <c r="S81" s="129">
        <f>IF(AND(ISNUMBER(A81),COUNTIF('02_Lo_trinh'!$A$7:$A$11,B81)=1,C81="Hợp lệ",COUNT(E81:H81)=4,I81&gt;0,COUNTIF($A$7:$A$96,A81)=1),1,0)</f>
        <v/>
      </c>
    </row>
    <row r="82" ht="38" customHeight="1">
      <c r="A82" s="130" t="inlineStr">
        <is>
          <t>[Chưa chốt]</t>
        </is>
      </c>
      <c r="B82" s="43" t="n"/>
      <c r="C82" s="43" t="inlineStr">
        <is>
          <t>Chưa xác nhận</t>
        </is>
      </c>
      <c r="D82" s="128">
        <f>IF(B82="","",IFERROR(VLOOKUP(B82,'02_Lo_trinh'!$A$7:$N$11,6,FALSE),""))</f>
        <v/>
      </c>
      <c r="E82" s="132" t="n"/>
      <c r="F82" s="132" t="n"/>
      <c r="G82" s="132" t="n"/>
      <c r="H82" s="132" t="n"/>
      <c r="I82" s="128">
        <f>IF(COUNT(E82:H82)=0,"",SUM(E82:H82))</f>
        <v/>
      </c>
      <c r="J82" s="132" t="n"/>
      <c r="K82" s="128">
        <f>IF(OR(S82&lt;&gt;1,NOT(ISNUMBER(J82)),J82&lt;0,J82&gt;I82),"",IF(B82="G4",IF(ISNUMBER('01_Thiet_lap'!$D$24),MAX(0,'01_Thiet_lap'!$D$24-J82),""),MAX(0,'01_Thiet_lap'!$D$10-J82)))</f>
        <v/>
      </c>
      <c r="L82" s="128">
        <f>IF(AND(ISNUMBER(I82),ISNUMBER(D82)),D82-I82,"")</f>
        <v/>
      </c>
      <c r="M82" s="132" t="n"/>
      <c r="N82" s="128">
        <f>IF(AND(ISNUMBER(I82),ISNUMBER(M82)),I82+M82,"")</f>
        <v/>
      </c>
      <c r="O82" s="38">
        <f>IF(B82="","",IFERROR(VLOOKUP(B82,'02_Lo_trinh'!$A$7:$N$11,10,FALSE),"Cần chọn lại giai đoạn"))</f>
        <v/>
      </c>
      <c r="P82" s="38">
        <f>IF(COUNT(E82:H82,M82)=0,"",IF(NOT(ISNUMBER(A82)),"Cần cập nhật ngày",IF(COUNTIF('02_Lo_trinh'!$A$7:$A$11,B82)&lt;&gt;1,"Cần chọn giai đoạn",IF(COUNTIF($A$7:$A$96,A82)&gt;1,"Cần rà soát ngày trùng",IF(COUNT(E82:H82)&lt;4,"Cần nhập đủ 4 khoản chi",IF(MIN(E82:H82)&lt;0,"Cần rà soát khoản chi âm",IF(O82&lt;&gt;"Đã phê duyệt","Cần đối chiếu phê duyệt",IF(NOT(ISNUMBER(J82)),"Cần ghi phần dự phòng",IF(OR(J82&lt;0,J82&gt;I82),"Cần rà soát số tiền dự phòng",IF(AND(B82="G4",NOT(ISNUMBER('01_Thiet_lap'!$D$24))),"Cần chốt dự phòng cấp 2",IF(AND(B82&lt;&gt;"G4",J82&gt;'01_Thiet_lap'!$D$10),"Cần rà soát mức dự phòng",IF(AND(B82="G4",ISNUMBER('01_Thiet_lap'!$D$24),J82&gt;'01_Thiet_lap'!$D$24),"Cần rà soát dự phòng cấp 2",IF(AND(J82&gt;0,Q82=""),"Cần bổ sung lý do dùng dự phòng",IF(C82&lt;&gt;"Hợp lệ","Chi phát sinh ngoài ngày hợp lệ",IF(NOT(ISNUMBER(M82)),"Chờ xác nhận thuế/phí",IF(I82&gt;D82,"Cần rà soát mức chi trong ngày","Đã ghi nhận"))))))))))))))))</f>
        <v/>
      </c>
      <c r="Q82" s="43" t="n"/>
      <c r="R82" s="43" t="n"/>
      <c r="S82" s="129">
        <f>IF(AND(ISNUMBER(A82),COUNTIF('02_Lo_trinh'!$A$7:$A$11,B82)=1,C82="Hợp lệ",COUNT(E82:H82)=4,I82&gt;0,COUNTIF($A$7:$A$96,A82)=1),1,0)</f>
        <v/>
      </c>
    </row>
    <row r="83" ht="38" customHeight="1">
      <c r="A83" s="130" t="inlineStr">
        <is>
          <t>[Chưa chốt]</t>
        </is>
      </c>
      <c r="B83" s="43" t="n"/>
      <c r="C83" s="43" t="inlineStr">
        <is>
          <t>Chưa xác nhận</t>
        </is>
      </c>
      <c r="D83" s="128">
        <f>IF(B83="","",IFERROR(VLOOKUP(B83,'02_Lo_trinh'!$A$7:$N$11,6,FALSE),""))</f>
        <v/>
      </c>
      <c r="E83" s="132" t="n"/>
      <c r="F83" s="132" t="n"/>
      <c r="G83" s="132" t="n"/>
      <c r="H83" s="132" t="n"/>
      <c r="I83" s="128">
        <f>IF(COUNT(E83:H83)=0,"",SUM(E83:H83))</f>
        <v/>
      </c>
      <c r="J83" s="132" t="n"/>
      <c r="K83" s="128">
        <f>IF(OR(S83&lt;&gt;1,NOT(ISNUMBER(J83)),J83&lt;0,J83&gt;I83),"",IF(B83="G4",IF(ISNUMBER('01_Thiet_lap'!$D$24),MAX(0,'01_Thiet_lap'!$D$24-J83),""),MAX(0,'01_Thiet_lap'!$D$10-J83)))</f>
        <v/>
      </c>
      <c r="L83" s="128">
        <f>IF(AND(ISNUMBER(I83),ISNUMBER(D83)),D83-I83,"")</f>
        <v/>
      </c>
      <c r="M83" s="132" t="n"/>
      <c r="N83" s="128">
        <f>IF(AND(ISNUMBER(I83),ISNUMBER(M83)),I83+M83,"")</f>
        <v/>
      </c>
      <c r="O83" s="38">
        <f>IF(B83="","",IFERROR(VLOOKUP(B83,'02_Lo_trinh'!$A$7:$N$11,10,FALSE),"Cần chọn lại giai đoạn"))</f>
        <v/>
      </c>
      <c r="P83" s="38">
        <f>IF(COUNT(E83:H83,M83)=0,"",IF(NOT(ISNUMBER(A83)),"Cần cập nhật ngày",IF(COUNTIF('02_Lo_trinh'!$A$7:$A$11,B83)&lt;&gt;1,"Cần chọn giai đoạn",IF(COUNTIF($A$7:$A$96,A83)&gt;1,"Cần rà soát ngày trùng",IF(COUNT(E83:H83)&lt;4,"Cần nhập đủ 4 khoản chi",IF(MIN(E83:H83)&lt;0,"Cần rà soát khoản chi âm",IF(O83&lt;&gt;"Đã phê duyệt","Cần đối chiếu phê duyệt",IF(NOT(ISNUMBER(J83)),"Cần ghi phần dự phòng",IF(OR(J83&lt;0,J83&gt;I83),"Cần rà soát số tiền dự phòng",IF(AND(B83="G4",NOT(ISNUMBER('01_Thiet_lap'!$D$24))),"Cần chốt dự phòng cấp 2",IF(AND(B83&lt;&gt;"G4",J83&gt;'01_Thiet_lap'!$D$10),"Cần rà soát mức dự phòng",IF(AND(B83="G4",ISNUMBER('01_Thiet_lap'!$D$24),J83&gt;'01_Thiet_lap'!$D$24),"Cần rà soát dự phòng cấp 2",IF(AND(J83&gt;0,Q83=""),"Cần bổ sung lý do dùng dự phòng",IF(C83&lt;&gt;"Hợp lệ","Chi phát sinh ngoài ngày hợp lệ",IF(NOT(ISNUMBER(M83)),"Chờ xác nhận thuế/phí",IF(I83&gt;D83,"Cần rà soát mức chi trong ngày","Đã ghi nhận"))))))))))))))))</f>
        <v/>
      </c>
      <c r="Q83" s="43" t="n"/>
      <c r="R83" s="43" t="n"/>
      <c r="S83" s="129">
        <f>IF(AND(ISNUMBER(A83),COUNTIF('02_Lo_trinh'!$A$7:$A$11,B83)=1,C83="Hợp lệ",COUNT(E83:H83)=4,I83&gt;0,COUNTIF($A$7:$A$96,A83)=1),1,0)</f>
        <v/>
      </c>
    </row>
    <row r="84" ht="38" customHeight="1">
      <c r="A84" s="130" t="inlineStr">
        <is>
          <t>[Chưa chốt]</t>
        </is>
      </c>
      <c r="B84" s="43" t="n"/>
      <c r="C84" s="43" t="inlineStr">
        <is>
          <t>Chưa xác nhận</t>
        </is>
      </c>
      <c r="D84" s="128">
        <f>IF(B84="","",IFERROR(VLOOKUP(B84,'02_Lo_trinh'!$A$7:$N$11,6,FALSE),""))</f>
        <v/>
      </c>
      <c r="E84" s="132" t="n"/>
      <c r="F84" s="132" t="n"/>
      <c r="G84" s="132" t="n"/>
      <c r="H84" s="132" t="n"/>
      <c r="I84" s="128">
        <f>IF(COUNT(E84:H84)=0,"",SUM(E84:H84))</f>
        <v/>
      </c>
      <c r="J84" s="132" t="n"/>
      <c r="K84" s="128">
        <f>IF(OR(S84&lt;&gt;1,NOT(ISNUMBER(J84)),J84&lt;0,J84&gt;I84),"",IF(B84="G4",IF(ISNUMBER('01_Thiet_lap'!$D$24),MAX(0,'01_Thiet_lap'!$D$24-J84),""),MAX(0,'01_Thiet_lap'!$D$10-J84)))</f>
        <v/>
      </c>
      <c r="L84" s="128">
        <f>IF(AND(ISNUMBER(I84),ISNUMBER(D84)),D84-I84,"")</f>
        <v/>
      </c>
      <c r="M84" s="132" t="n"/>
      <c r="N84" s="128">
        <f>IF(AND(ISNUMBER(I84),ISNUMBER(M84)),I84+M84,"")</f>
        <v/>
      </c>
      <c r="O84" s="38">
        <f>IF(B84="","",IFERROR(VLOOKUP(B84,'02_Lo_trinh'!$A$7:$N$11,10,FALSE),"Cần chọn lại giai đoạn"))</f>
        <v/>
      </c>
      <c r="P84" s="38">
        <f>IF(COUNT(E84:H84,M84)=0,"",IF(NOT(ISNUMBER(A84)),"Cần cập nhật ngày",IF(COUNTIF('02_Lo_trinh'!$A$7:$A$11,B84)&lt;&gt;1,"Cần chọn giai đoạn",IF(COUNTIF($A$7:$A$96,A84)&gt;1,"Cần rà soát ngày trùng",IF(COUNT(E84:H84)&lt;4,"Cần nhập đủ 4 khoản chi",IF(MIN(E84:H84)&lt;0,"Cần rà soát khoản chi âm",IF(O84&lt;&gt;"Đã phê duyệt","Cần đối chiếu phê duyệt",IF(NOT(ISNUMBER(J84)),"Cần ghi phần dự phòng",IF(OR(J84&lt;0,J84&gt;I84),"Cần rà soát số tiền dự phòng",IF(AND(B84="G4",NOT(ISNUMBER('01_Thiet_lap'!$D$24))),"Cần chốt dự phòng cấp 2",IF(AND(B84&lt;&gt;"G4",J84&gt;'01_Thiet_lap'!$D$10),"Cần rà soát mức dự phòng",IF(AND(B84="G4",ISNUMBER('01_Thiet_lap'!$D$24),J84&gt;'01_Thiet_lap'!$D$24),"Cần rà soát dự phòng cấp 2",IF(AND(J84&gt;0,Q84=""),"Cần bổ sung lý do dùng dự phòng",IF(C84&lt;&gt;"Hợp lệ","Chi phát sinh ngoài ngày hợp lệ",IF(NOT(ISNUMBER(M84)),"Chờ xác nhận thuế/phí",IF(I84&gt;D84,"Cần rà soát mức chi trong ngày","Đã ghi nhận"))))))))))))))))</f>
        <v/>
      </c>
      <c r="Q84" s="43" t="n"/>
      <c r="R84" s="43" t="n"/>
      <c r="S84" s="129">
        <f>IF(AND(ISNUMBER(A84),COUNTIF('02_Lo_trinh'!$A$7:$A$11,B84)=1,C84="Hợp lệ",COUNT(E84:H84)=4,I84&gt;0,COUNTIF($A$7:$A$96,A84)=1),1,0)</f>
        <v/>
      </c>
    </row>
    <row r="85" ht="38" customHeight="1">
      <c r="A85" s="130" t="inlineStr">
        <is>
          <t>[Chưa chốt]</t>
        </is>
      </c>
      <c r="B85" s="43" t="n"/>
      <c r="C85" s="43" t="inlineStr">
        <is>
          <t>Chưa xác nhận</t>
        </is>
      </c>
      <c r="D85" s="128">
        <f>IF(B85="","",IFERROR(VLOOKUP(B85,'02_Lo_trinh'!$A$7:$N$11,6,FALSE),""))</f>
        <v/>
      </c>
      <c r="E85" s="132" t="n"/>
      <c r="F85" s="132" t="n"/>
      <c r="G85" s="132" t="n"/>
      <c r="H85" s="132" t="n"/>
      <c r="I85" s="128">
        <f>IF(COUNT(E85:H85)=0,"",SUM(E85:H85))</f>
        <v/>
      </c>
      <c r="J85" s="132" t="n"/>
      <c r="K85" s="128">
        <f>IF(OR(S85&lt;&gt;1,NOT(ISNUMBER(J85)),J85&lt;0,J85&gt;I85),"",IF(B85="G4",IF(ISNUMBER('01_Thiet_lap'!$D$24),MAX(0,'01_Thiet_lap'!$D$24-J85),""),MAX(0,'01_Thiet_lap'!$D$10-J85)))</f>
        <v/>
      </c>
      <c r="L85" s="128">
        <f>IF(AND(ISNUMBER(I85),ISNUMBER(D85)),D85-I85,"")</f>
        <v/>
      </c>
      <c r="M85" s="132" t="n"/>
      <c r="N85" s="128">
        <f>IF(AND(ISNUMBER(I85),ISNUMBER(M85)),I85+M85,"")</f>
        <v/>
      </c>
      <c r="O85" s="38">
        <f>IF(B85="","",IFERROR(VLOOKUP(B85,'02_Lo_trinh'!$A$7:$N$11,10,FALSE),"Cần chọn lại giai đoạn"))</f>
        <v/>
      </c>
      <c r="P85" s="38">
        <f>IF(COUNT(E85:H85,M85)=0,"",IF(NOT(ISNUMBER(A85)),"Cần cập nhật ngày",IF(COUNTIF('02_Lo_trinh'!$A$7:$A$11,B85)&lt;&gt;1,"Cần chọn giai đoạn",IF(COUNTIF($A$7:$A$96,A85)&gt;1,"Cần rà soát ngày trùng",IF(COUNT(E85:H85)&lt;4,"Cần nhập đủ 4 khoản chi",IF(MIN(E85:H85)&lt;0,"Cần rà soát khoản chi âm",IF(O85&lt;&gt;"Đã phê duyệt","Cần đối chiếu phê duyệt",IF(NOT(ISNUMBER(J85)),"Cần ghi phần dự phòng",IF(OR(J85&lt;0,J85&gt;I85),"Cần rà soát số tiền dự phòng",IF(AND(B85="G4",NOT(ISNUMBER('01_Thiet_lap'!$D$24))),"Cần chốt dự phòng cấp 2",IF(AND(B85&lt;&gt;"G4",J85&gt;'01_Thiet_lap'!$D$10),"Cần rà soát mức dự phòng",IF(AND(B85="G4",ISNUMBER('01_Thiet_lap'!$D$24),J85&gt;'01_Thiet_lap'!$D$24),"Cần rà soát dự phòng cấp 2",IF(AND(J85&gt;0,Q85=""),"Cần bổ sung lý do dùng dự phòng",IF(C85&lt;&gt;"Hợp lệ","Chi phát sinh ngoài ngày hợp lệ",IF(NOT(ISNUMBER(M85)),"Chờ xác nhận thuế/phí",IF(I85&gt;D85,"Cần rà soát mức chi trong ngày","Đã ghi nhận"))))))))))))))))</f>
        <v/>
      </c>
      <c r="Q85" s="43" t="n"/>
      <c r="R85" s="43" t="n"/>
      <c r="S85" s="129">
        <f>IF(AND(ISNUMBER(A85),COUNTIF('02_Lo_trinh'!$A$7:$A$11,B85)=1,C85="Hợp lệ",COUNT(E85:H85)=4,I85&gt;0,COUNTIF($A$7:$A$96,A85)=1),1,0)</f>
        <v/>
      </c>
    </row>
    <row r="86" ht="38" customHeight="1">
      <c r="A86" s="130" t="inlineStr">
        <is>
          <t>[Chưa chốt]</t>
        </is>
      </c>
      <c r="B86" s="43" t="n"/>
      <c r="C86" s="43" t="inlineStr">
        <is>
          <t>Chưa xác nhận</t>
        </is>
      </c>
      <c r="D86" s="128">
        <f>IF(B86="","",IFERROR(VLOOKUP(B86,'02_Lo_trinh'!$A$7:$N$11,6,FALSE),""))</f>
        <v/>
      </c>
      <c r="E86" s="132" t="n"/>
      <c r="F86" s="132" t="n"/>
      <c r="G86" s="132" t="n"/>
      <c r="H86" s="132" t="n"/>
      <c r="I86" s="128">
        <f>IF(COUNT(E86:H86)=0,"",SUM(E86:H86))</f>
        <v/>
      </c>
      <c r="J86" s="132" t="n"/>
      <c r="K86" s="128">
        <f>IF(OR(S86&lt;&gt;1,NOT(ISNUMBER(J86)),J86&lt;0,J86&gt;I86),"",IF(B86="G4",IF(ISNUMBER('01_Thiet_lap'!$D$24),MAX(0,'01_Thiet_lap'!$D$24-J86),""),MAX(0,'01_Thiet_lap'!$D$10-J86)))</f>
        <v/>
      </c>
      <c r="L86" s="128">
        <f>IF(AND(ISNUMBER(I86),ISNUMBER(D86)),D86-I86,"")</f>
        <v/>
      </c>
      <c r="M86" s="132" t="n"/>
      <c r="N86" s="128">
        <f>IF(AND(ISNUMBER(I86),ISNUMBER(M86)),I86+M86,"")</f>
        <v/>
      </c>
      <c r="O86" s="38">
        <f>IF(B86="","",IFERROR(VLOOKUP(B86,'02_Lo_trinh'!$A$7:$N$11,10,FALSE),"Cần chọn lại giai đoạn"))</f>
        <v/>
      </c>
      <c r="P86" s="38">
        <f>IF(COUNT(E86:H86,M86)=0,"",IF(NOT(ISNUMBER(A86)),"Cần cập nhật ngày",IF(COUNTIF('02_Lo_trinh'!$A$7:$A$11,B86)&lt;&gt;1,"Cần chọn giai đoạn",IF(COUNTIF($A$7:$A$96,A86)&gt;1,"Cần rà soát ngày trùng",IF(COUNT(E86:H86)&lt;4,"Cần nhập đủ 4 khoản chi",IF(MIN(E86:H86)&lt;0,"Cần rà soát khoản chi âm",IF(O86&lt;&gt;"Đã phê duyệt","Cần đối chiếu phê duyệt",IF(NOT(ISNUMBER(J86)),"Cần ghi phần dự phòng",IF(OR(J86&lt;0,J86&gt;I86),"Cần rà soát số tiền dự phòng",IF(AND(B86="G4",NOT(ISNUMBER('01_Thiet_lap'!$D$24))),"Cần chốt dự phòng cấp 2",IF(AND(B86&lt;&gt;"G4",J86&gt;'01_Thiet_lap'!$D$10),"Cần rà soát mức dự phòng",IF(AND(B86="G4",ISNUMBER('01_Thiet_lap'!$D$24),J86&gt;'01_Thiet_lap'!$D$24),"Cần rà soát dự phòng cấp 2",IF(AND(J86&gt;0,Q86=""),"Cần bổ sung lý do dùng dự phòng",IF(C86&lt;&gt;"Hợp lệ","Chi phát sinh ngoài ngày hợp lệ",IF(NOT(ISNUMBER(M86)),"Chờ xác nhận thuế/phí",IF(I86&gt;D86,"Cần rà soát mức chi trong ngày","Đã ghi nhận"))))))))))))))))</f>
        <v/>
      </c>
      <c r="Q86" s="43" t="n"/>
      <c r="R86" s="43" t="n"/>
      <c r="S86" s="129">
        <f>IF(AND(ISNUMBER(A86),COUNTIF('02_Lo_trinh'!$A$7:$A$11,B86)=1,C86="Hợp lệ",COUNT(E86:H86)=4,I86&gt;0,COUNTIF($A$7:$A$96,A86)=1),1,0)</f>
        <v/>
      </c>
    </row>
    <row r="87" ht="38" customHeight="1">
      <c r="A87" s="130" t="inlineStr">
        <is>
          <t>[Chưa chốt]</t>
        </is>
      </c>
      <c r="B87" s="43" t="n"/>
      <c r="C87" s="43" t="inlineStr">
        <is>
          <t>Chưa xác nhận</t>
        </is>
      </c>
      <c r="D87" s="128">
        <f>IF(B87="","",IFERROR(VLOOKUP(B87,'02_Lo_trinh'!$A$7:$N$11,6,FALSE),""))</f>
        <v/>
      </c>
      <c r="E87" s="132" t="n"/>
      <c r="F87" s="132" t="n"/>
      <c r="G87" s="132" t="n"/>
      <c r="H87" s="132" t="n"/>
      <c r="I87" s="128">
        <f>IF(COUNT(E87:H87)=0,"",SUM(E87:H87))</f>
        <v/>
      </c>
      <c r="J87" s="132" t="n"/>
      <c r="K87" s="128">
        <f>IF(OR(S87&lt;&gt;1,NOT(ISNUMBER(J87)),J87&lt;0,J87&gt;I87),"",IF(B87="G4",IF(ISNUMBER('01_Thiet_lap'!$D$24),MAX(0,'01_Thiet_lap'!$D$24-J87),""),MAX(0,'01_Thiet_lap'!$D$10-J87)))</f>
        <v/>
      </c>
      <c r="L87" s="128">
        <f>IF(AND(ISNUMBER(I87),ISNUMBER(D87)),D87-I87,"")</f>
        <v/>
      </c>
      <c r="M87" s="132" t="n"/>
      <c r="N87" s="128">
        <f>IF(AND(ISNUMBER(I87),ISNUMBER(M87)),I87+M87,"")</f>
        <v/>
      </c>
      <c r="O87" s="38">
        <f>IF(B87="","",IFERROR(VLOOKUP(B87,'02_Lo_trinh'!$A$7:$N$11,10,FALSE),"Cần chọn lại giai đoạn"))</f>
        <v/>
      </c>
      <c r="P87" s="38">
        <f>IF(COUNT(E87:H87,M87)=0,"",IF(NOT(ISNUMBER(A87)),"Cần cập nhật ngày",IF(COUNTIF('02_Lo_trinh'!$A$7:$A$11,B87)&lt;&gt;1,"Cần chọn giai đoạn",IF(COUNTIF($A$7:$A$96,A87)&gt;1,"Cần rà soát ngày trùng",IF(COUNT(E87:H87)&lt;4,"Cần nhập đủ 4 khoản chi",IF(MIN(E87:H87)&lt;0,"Cần rà soát khoản chi âm",IF(O87&lt;&gt;"Đã phê duyệt","Cần đối chiếu phê duyệt",IF(NOT(ISNUMBER(J87)),"Cần ghi phần dự phòng",IF(OR(J87&lt;0,J87&gt;I87),"Cần rà soát số tiền dự phòng",IF(AND(B87="G4",NOT(ISNUMBER('01_Thiet_lap'!$D$24))),"Cần chốt dự phòng cấp 2",IF(AND(B87&lt;&gt;"G4",J87&gt;'01_Thiet_lap'!$D$10),"Cần rà soát mức dự phòng",IF(AND(B87="G4",ISNUMBER('01_Thiet_lap'!$D$24),J87&gt;'01_Thiet_lap'!$D$24),"Cần rà soát dự phòng cấp 2",IF(AND(J87&gt;0,Q87=""),"Cần bổ sung lý do dùng dự phòng",IF(C87&lt;&gt;"Hợp lệ","Chi phát sinh ngoài ngày hợp lệ",IF(NOT(ISNUMBER(M87)),"Chờ xác nhận thuế/phí",IF(I87&gt;D87,"Cần rà soát mức chi trong ngày","Đã ghi nhận"))))))))))))))))</f>
        <v/>
      </c>
      <c r="Q87" s="43" t="n"/>
      <c r="R87" s="43" t="n"/>
      <c r="S87" s="129">
        <f>IF(AND(ISNUMBER(A87),COUNTIF('02_Lo_trinh'!$A$7:$A$11,B87)=1,C87="Hợp lệ",COUNT(E87:H87)=4,I87&gt;0,COUNTIF($A$7:$A$96,A87)=1),1,0)</f>
        <v/>
      </c>
    </row>
    <row r="88" ht="38" customHeight="1">
      <c r="A88" s="130" t="inlineStr">
        <is>
          <t>[Chưa chốt]</t>
        </is>
      </c>
      <c r="B88" s="43" t="n"/>
      <c r="C88" s="43" t="inlineStr">
        <is>
          <t>Chưa xác nhận</t>
        </is>
      </c>
      <c r="D88" s="128">
        <f>IF(B88="","",IFERROR(VLOOKUP(B88,'02_Lo_trinh'!$A$7:$N$11,6,FALSE),""))</f>
        <v/>
      </c>
      <c r="E88" s="132" t="n"/>
      <c r="F88" s="132" t="n"/>
      <c r="G88" s="132" t="n"/>
      <c r="H88" s="132" t="n"/>
      <c r="I88" s="128">
        <f>IF(COUNT(E88:H88)=0,"",SUM(E88:H88))</f>
        <v/>
      </c>
      <c r="J88" s="132" t="n"/>
      <c r="K88" s="128">
        <f>IF(OR(S88&lt;&gt;1,NOT(ISNUMBER(J88)),J88&lt;0,J88&gt;I88),"",IF(B88="G4",IF(ISNUMBER('01_Thiet_lap'!$D$24),MAX(0,'01_Thiet_lap'!$D$24-J88),""),MAX(0,'01_Thiet_lap'!$D$10-J88)))</f>
        <v/>
      </c>
      <c r="L88" s="128">
        <f>IF(AND(ISNUMBER(I88),ISNUMBER(D88)),D88-I88,"")</f>
        <v/>
      </c>
      <c r="M88" s="132" t="n"/>
      <c r="N88" s="128">
        <f>IF(AND(ISNUMBER(I88),ISNUMBER(M88)),I88+M88,"")</f>
        <v/>
      </c>
      <c r="O88" s="38">
        <f>IF(B88="","",IFERROR(VLOOKUP(B88,'02_Lo_trinh'!$A$7:$N$11,10,FALSE),"Cần chọn lại giai đoạn"))</f>
        <v/>
      </c>
      <c r="P88" s="38">
        <f>IF(COUNT(E88:H88,M88)=0,"",IF(NOT(ISNUMBER(A88)),"Cần cập nhật ngày",IF(COUNTIF('02_Lo_trinh'!$A$7:$A$11,B88)&lt;&gt;1,"Cần chọn giai đoạn",IF(COUNTIF($A$7:$A$96,A88)&gt;1,"Cần rà soát ngày trùng",IF(COUNT(E88:H88)&lt;4,"Cần nhập đủ 4 khoản chi",IF(MIN(E88:H88)&lt;0,"Cần rà soát khoản chi âm",IF(O88&lt;&gt;"Đã phê duyệt","Cần đối chiếu phê duyệt",IF(NOT(ISNUMBER(J88)),"Cần ghi phần dự phòng",IF(OR(J88&lt;0,J88&gt;I88),"Cần rà soát số tiền dự phòng",IF(AND(B88="G4",NOT(ISNUMBER('01_Thiet_lap'!$D$24))),"Cần chốt dự phòng cấp 2",IF(AND(B88&lt;&gt;"G4",J88&gt;'01_Thiet_lap'!$D$10),"Cần rà soát mức dự phòng",IF(AND(B88="G4",ISNUMBER('01_Thiet_lap'!$D$24),J88&gt;'01_Thiet_lap'!$D$24),"Cần rà soát dự phòng cấp 2",IF(AND(J88&gt;0,Q88=""),"Cần bổ sung lý do dùng dự phòng",IF(C88&lt;&gt;"Hợp lệ","Chi phát sinh ngoài ngày hợp lệ",IF(NOT(ISNUMBER(M88)),"Chờ xác nhận thuế/phí",IF(I88&gt;D88,"Cần rà soát mức chi trong ngày","Đã ghi nhận"))))))))))))))))</f>
        <v/>
      </c>
      <c r="Q88" s="43" t="n"/>
      <c r="R88" s="43" t="n"/>
      <c r="S88" s="129">
        <f>IF(AND(ISNUMBER(A88),COUNTIF('02_Lo_trinh'!$A$7:$A$11,B88)=1,C88="Hợp lệ",COUNT(E88:H88)=4,I88&gt;0,COUNTIF($A$7:$A$96,A88)=1),1,0)</f>
        <v/>
      </c>
    </row>
    <row r="89" ht="38" customHeight="1">
      <c r="A89" s="130" t="inlineStr">
        <is>
          <t>[Chưa chốt]</t>
        </is>
      </c>
      <c r="B89" s="43" t="n"/>
      <c r="C89" s="43" t="inlineStr">
        <is>
          <t>Chưa xác nhận</t>
        </is>
      </c>
      <c r="D89" s="128">
        <f>IF(B89="","",IFERROR(VLOOKUP(B89,'02_Lo_trinh'!$A$7:$N$11,6,FALSE),""))</f>
        <v/>
      </c>
      <c r="E89" s="132" t="n"/>
      <c r="F89" s="132" t="n"/>
      <c r="G89" s="132" t="n"/>
      <c r="H89" s="132" t="n"/>
      <c r="I89" s="128">
        <f>IF(COUNT(E89:H89)=0,"",SUM(E89:H89))</f>
        <v/>
      </c>
      <c r="J89" s="132" t="n"/>
      <c r="K89" s="128">
        <f>IF(OR(S89&lt;&gt;1,NOT(ISNUMBER(J89)),J89&lt;0,J89&gt;I89),"",IF(B89="G4",IF(ISNUMBER('01_Thiet_lap'!$D$24),MAX(0,'01_Thiet_lap'!$D$24-J89),""),MAX(0,'01_Thiet_lap'!$D$10-J89)))</f>
        <v/>
      </c>
      <c r="L89" s="128">
        <f>IF(AND(ISNUMBER(I89),ISNUMBER(D89)),D89-I89,"")</f>
        <v/>
      </c>
      <c r="M89" s="132" t="n"/>
      <c r="N89" s="128">
        <f>IF(AND(ISNUMBER(I89),ISNUMBER(M89)),I89+M89,"")</f>
        <v/>
      </c>
      <c r="O89" s="38">
        <f>IF(B89="","",IFERROR(VLOOKUP(B89,'02_Lo_trinh'!$A$7:$N$11,10,FALSE),"Cần chọn lại giai đoạn"))</f>
        <v/>
      </c>
      <c r="P89" s="38">
        <f>IF(COUNT(E89:H89,M89)=0,"",IF(NOT(ISNUMBER(A89)),"Cần cập nhật ngày",IF(COUNTIF('02_Lo_trinh'!$A$7:$A$11,B89)&lt;&gt;1,"Cần chọn giai đoạn",IF(COUNTIF($A$7:$A$96,A89)&gt;1,"Cần rà soát ngày trùng",IF(COUNT(E89:H89)&lt;4,"Cần nhập đủ 4 khoản chi",IF(MIN(E89:H89)&lt;0,"Cần rà soát khoản chi âm",IF(O89&lt;&gt;"Đã phê duyệt","Cần đối chiếu phê duyệt",IF(NOT(ISNUMBER(J89)),"Cần ghi phần dự phòng",IF(OR(J89&lt;0,J89&gt;I89),"Cần rà soát số tiền dự phòng",IF(AND(B89="G4",NOT(ISNUMBER('01_Thiet_lap'!$D$24))),"Cần chốt dự phòng cấp 2",IF(AND(B89&lt;&gt;"G4",J89&gt;'01_Thiet_lap'!$D$10),"Cần rà soát mức dự phòng",IF(AND(B89="G4",ISNUMBER('01_Thiet_lap'!$D$24),J89&gt;'01_Thiet_lap'!$D$24),"Cần rà soát dự phòng cấp 2",IF(AND(J89&gt;0,Q89=""),"Cần bổ sung lý do dùng dự phòng",IF(C89&lt;&gt;"Hợp lệ","Chi phát sinh ngoài ngày hợp lệ",IF(NOT(ISNUMBER(M89)),"Chờ xác nhận thuế/phí",IF(I89&gt;D89,"Cần rà soát mức chi trong ngày","Đã ghi nhận"))))))))))))))))</f>
        <v/>
      </c>
      <c r="Q89" s="43" t="n"/>
      <c r="R89" s="43" t="n"/>
      <c r="S89" s="129">
        <f>IF(AND(ISNUMBER(A89),COUNTIF('02_Lo_trinh'!$A$7:$A$11,B89)=1,C89="Hợp lệ",COUNT(E89:H89)=4,I89&gt;0,COUNTIF($A$7:$A$96,A89)=1),1,0)</f>
        <v/>
      </c>
    </row>
    <row r="90" ht="38" customHeight="1">
      <c r="A90" s="130" t="inlineStr">
        <is>
          <t>[Chưa chốt]</t>
        </is>
      </c>
      <c r="B90" s="43" t="n"/>
      <c r="C90" s="43" t="inlineStr">
        <is>
          <t>Chưa xác nhận</t>
        </is>
      </c>
      <c r="D90" s="128">
        <f>IF(B90="","",IFERROR(VLOOKUP(B90,'02_Lo_trinh'!$A$7:$N$11,6,FALSE),""))</f>
        <v/>
      </c>
      <c r="E90" s="132" t="n"/>
      <c r="F90" s="132" t="n"/>
      <c r="G90" s="132" t="n"/>
      <c r="H90" s="132" t="n"/>
      <c r="I90" s="128">
        <f>IF(COUNT(E90:H90)=0,"",SUM(E90:H90))</f>
        <v/>
      </c>
      <c r="J90" s="132" t="n"/>
      <c r="K90" s="128">
        <f>IF(OR(S90&lt;&gt;1,NOT(ISNUMBER(J90)),J90&lt;0,J90&gt;I90),"",IF(B90="G4",IF(ISNUMBER('01_Thiet_lap'!$D$24),MAX(0,'01_Thiet_lap'!$D$24-J90),""),MAX(0,'01_Thiet_lap'!$D$10-J90)))</f>
        <v/>
      </c>
      <c r="L90" s="128">
        <f>IF(AND(ISNUMBER(I90),ISNUMBER(D90)),D90-I90,"")</f>
        <v/>
      </c>
      <c r="M90" s="132" t="n"/>
      <c r="N90" s="128">
        <f>IF(AND(ISNUMBER(I90),ISNUMBER(M90)),I90+M90,"")</f>
        <v/>
      </c>
      <c r="O90" s="38">
        <f>IF(B90="","",IFERROR(VLOOKUP(B90,'02_Lo_trinh'!$A$7:$N$11,10,FALSE),"Cần chọn lại giai đoạn"))</f>
        <v/>
      </c>
      <c r="P90" s="38">
        <f>IF(COUNT(E90:H90,M90)=0,"",IF(NOT(ISNUMBER(A90)),"Cần cập nhật ngày",IF(COUNTIF('02_Lo_trinh'!$A$7:$A$11,B90)&lt;&gt;1,"Cần chọn giai đoạn",IF(COUNTIF($A$7:$A$96,A90)&gt;1,"Cần rà soát ngày trùng",IF(COUNT(E90:H90)&lt;4,"Cần nhập đủ 4 khoản chi",IF(MIN(E90:H90)&lt;0,"Cần rà soát khoản chi âm",IF(O90&lt;&gt;"Đã phê duyệt","Cần đối chiếu phê duyệt",IF(NOT(ISNUMBER(J90)),"Cần ghi phần dự phòng",IF(OR(J90&lt;0,J90&gt;I90),"Cần rà soát số tiền dự phòng",IF(AND(B90="G4",NOT(ISNUMBER('01_Thiet_lap'!$D$24))),"Cần chốt dự phòng cấp 2",IF(AND(B90&lt;&gt;"G4",J90&gt;'01_Thiet_lap'!$D$10),"Cần rà soát mức dự phòng",IF(AND(B90="G4",ISNUMBER('01_Thiet_lap'!$D$24),J90&gt;'01_Thiet_lap'!$D$24),"Cần rà soát dự phòng cấp 2",IF(AND(J90&gt;0,Q90=""),"Cần bổ sung lý do dùng dự phòng",IF(C90&lt;&gt;"Hợp lệ","Chi phát sinh ngoài ngày hợp lệ",IF(NOT(ISNUMBER(M90)),"Chờ xác nhận thuế/phí",IF(I90&gt;D90,"Cần rà soát mức chi trong ngày","Đã ghi nhận"))))))))))))))))</f>
        <v/>
      </c>
      <c r="Q90" s="43" t="n"/>
      <c r="R90" s="43" t="n"/>
      <c r="S90" s="129">
        <f>IF(AND(ISNUMBER(A90),COUNTIF('02_Lo_trinh'!$A$7:$A$11,B90)=1,C90="Hợp lệ",COUNT(E90:H90)=4,I90&gt;0,COUNTIF($A$7:$A$96,A90)=1),1,0)</f>
        <v/>
      </c>
    </row>
    <row r="91" ht="38" customHeight="1">
      <c r="A91" s="130" t="inlineStr">
        <is>
          <t>[Chưa chốt]</t>
        </is>
      </c>
      <c r="B91" s="43" t="n"/>
      <c r="C91" s="43" t="inlineStr">
        <is>
          <t>Chưa xác nhận</t>
        </is>
      </c>
      <c r="D91" s="128">
        <f>IF(B91="","",IFERROR(VLOOKUP(B91,'02_Lo_trinh'!$A$7:$N$11,6,FALSE),""))</f>
        <v/>
      </c>
      <c r="E91" s="132" t="n"/>
      <c r="F91" s="132" t="n"/>
      <c r="G91" s="132" t="n"/>
      <c r="H91" s="132" t="n"/>
      <c r="I91" s="128">
        <f>IF(COUNT(E91:H91)=0,"",SUM(E91:H91))</f>
        <v/>
      </c>
      <c r="J91" s="132" t="n"/>
      <c r="K91" s="128">
        <f>IF(OR(S91&lt;&gt;1,NOT(ISNUMBER(J91)),J91&lt;0,J91&gt;I91),"",IF(B91="G4",IF(ISNUMBER('01_Thiet_lap'!$D$24),MAX(0,'01_Thiet_lap'!$D$24-J91),""),MAX(0,'01_Thiet_lap'!$D$10-J91)))</f>
        <v/>
      </c>
      <c r="L91" s="128">
        <f>IF(AND(ISNUMBER(I91),ISNUMBER(D91)),D91-I91,"")</f>
        <v/>
      </c>
      <c r="M91" s="132" t="n"/>
      <c r="N91" s="128">
        <f>IF(AND(ISNUMBER(I91),ISNUMBER(M91)),I91+M91,"")</f>
        <v/>
      </c>
      <c r="O91" s="38">
        <f>IF(B91="","",IFERROR(VLOOKUP(B91,'02_Lo_trinh'!$A$7:$N$11,10,FALSE),"Cần chọn lại giai đoạn"))</f>
        <v/>
      </c>
      <c r="P91" s="38">
        <f>IF(COUNT(E91:H91,M91)=0,"",IF(NOT(ISNUMBER(A91)),"Cần cập nhật ngày",IF(COUNTIF('02_Lo_trinh'!$A$7:$A$11,B91)&lt;&gt;1,"Cần chọn giai đoạn",IF(COUNTIF($A$7:$A$96,A91)&gt;1,"Cần rà soát ngày trùng",IF(COUNT(E91:H91)&lt;4,"Cần nhập đủ 4 khoản chi",IF(MIN(E91:H91)&lt;0,"Cần rà soát khoản chi âm",IF(O91&lt;&gt;"Đã phê duyệt","Cần đối chiếu phê duyệt",IF(NOT(ISNUMBER(J91)),"Cần ghi phần dự phòng",IF(OR(J91&lt;0,J91&gt;I91),"Cần rà soát số tiền dự phòng",IF(AND(B91="G4",NOT(ISNUMBER('01_Thiet_lap'!$D$24))),"Cần chốt dự phòng cấp 2",IF(AND(B91&lt;&gt;"G4",J91&gt;'01_Thiet_lap'!$D$10),"Cần rà soát mức dự phòng",IF(AND(B91="G4",ISNUMBER('01_Thiet_lap'!$D$24),J91&gt;'01_Thiet_lap'!$D$24),"Cần rà soát dự phòng cấp 2",IF(AND(J91&gt;0,Q91=""),"Cần bổ sung lý do dùng dự phòng",IF(C91&lt;&gt;"Hợp lệ","Chi phát sinh ngoài ngày hợp lệ",IF(NOT(ISNUMBER(M91)),"Chờ xác nhận thuế/phí",IF(I91&gt;D91,"Cần rà soát mức chi trong ngày","Đã ghi nhận"))))))))))))))))</f>
        <v/>
      </c>
      <c r="Q91" s="43" t="n"/>
      <c r="R91" s="43" t="n"/>
      <c r="S91" s="129">
        <f>IF(AND(ISNUMBER(A91),COUNTIF('02_Lo_trinh'!$A$7:$A$11,B91)=1,C91="Hợp lệ",COUNT(E91:H91)=4,I91&gt;0,COUNTIF($A$7:$A$96,A91)=1),1,0)</f>
        <v/>
      </c>
    </row>
    <row r="92" ht="38" customHeight="1">
      <c r="A92" s="130" t="inlineStr">
        <is>
          <t>[Chưa chốt]</t>
        </is>
      </c>
      <c r="B92" s="43" t="n"/>
      <c r="C92" s="43" t="inlineStr">
        <is>
          <t>Chưa xác nhận</t>
        </is>
      </c>
      <c r="D92" s="128">
        <f>IF(B92="","",IFERROR(VLOOKUP(B92,'02_Lo_trinh'!$A$7:$N$11,6,FALSE),""))</f>
        <v/>
      </c>
      <c r="E92" s="132" t="n"/>
      <c r="F92" s="132" t="n"/>
      <c r="G92" s="132" t="n"/>
      <c r="H92" s="132" t="n"/>
      <c r="I92" s="128">
        <f>IF(COUNT(E92:H92)=0,"",SUM(E92:H92))</f>
        <v/>
      </c>
      <c r="J92" s="132" t="n"/>
      <c r="K92" s="128">
        <f>IF(OR(S92&lt;&gt;1,NOT(ISNUMBER(J92)),J92&lt;0,J92&gt;I92),"",IF(B92="G4",IF(ISNUMBER('01_Thiet_lap'!$D$24),MAX(0,'01_Thiet_lap'!$D$24-J92),""),MAX(0,'01_Thiet_lap'!$D$10-J92)))</f>
        <v/>
      </c>
      <c r="L92" s="128">
        <f>IF(AND(ISNUMBER(I92),ISNUMBER(D92)),D92-I92,"")</f>
        <v/>
      </c>
      <c r="M92" s="132" t="n"/>
      <c r="N92" s="128">
        <f>IF(AND(ISNUMBER(I92),ISNUMBER(M92)),I92+M92,"")</f>
        <v/>
      </c>
      <c r="O92" s="38">
        <f>IF(B92="","",IFERROR(VLOOKUP(B92,'02_Lo_trinh'!$A$7:$N$11,10,FALSE),"Cần chọn lại giai đoạn"))</f>
        <v/>
      </c>
      <c r="P92" s="38">
        <f>IF(COUNT(E92:H92,M92)=0,"",IF(NOT(ISNUMBER(A92)),"Cần cập nhật ngày",IF(COUNTIF('02_Lo_trinh'!$A$7:$A$11,B92)&lt;&gt;1,"Cần chọn giai đoạn",IF(COUNTIF($A$7:$A$96,A92)&gt;1,"Cần rà soát ngày trùng",IF(COUNT(E92:H92)&lt;4,"Cần nhập đủ 4 khoản chi",IF(MIN(E92:H92)&lt;0,"Cần rà soát khoản chi âm",IF(O92&lt;&gt;"Đã phê duyệt","Cần đối chiếu phê duyệt",IF(NOT(ISNUMBER(J92)),"Cần ghi phần dự phòng",IF(OR(J92&lt;0,J92&gt;I92),"Cần rà soát số tiền dự phòng",IF(AND(B92="G4",NOT(ISNUMBER('01_Thiet_lap'!$D$24))),"Cần chốt dự phòng cấp 2",IF(AND(B92&lt;&gt;"G4",J92&gt;'01_Thiet_lap'!$D$10),"Cần rà soát mức dự phòng",IF(AND(B92="G4",ISNUMBER('01_Thiet_lap'!$D$24),J92&gt;'01_Thiet_lap'!$D$24),"Cần rà soát dự phòng cấp 2",IF(AND(J92&gt;0,Q92=""),"Cần bổ sung lý do dùng dự phòng",IF(C92&lt;&gt;"Hợp lệ","Chi phát sinh ngoài ngày hợp lệ",IF(NOT(ISNUMBER(M92)),"Chờ xác nhận thuế/phí",IF(I92&gt;D92,"Cần rà soát mức chi trong ngày","Đã ghi nhận"))))))))))))))))</f>
        <v/>
      </c>
      <c r="Q92" s="43" t="n"/>
      <c r="R92" s="43" t="n"/>
      <c r="S92" s="129">
        <f>IF(AND(ISNUMBER(A92),COUNTIF('02_Lo_trinh'!$A$7:$A$11,B92)=1,C92="Hợp lệ",COUNT(E92:H92)=4,I92&gt;0,COUNTIF($A$7:$A$96,A92)=1),1,0)</f>
        <v/>
      </c>
    </row>
    <row r="93" ht="38" customHeight="1">
      <c r="A93" s="130" t="inlineStr">
        <is>
          <t>[Chưa chốt]</t>
        </is>
      </c>
      <c r="B93" s="43" t="n"/>
      <c r="C93" s="43" t="inlineStr">
        <is>
          <t>Chưa xác nhận</t>
        </is>
      </c>
      <c r="D93" s="128">
        <f>IF(B93="","",IFERROR(VLOOKUP(B93,'02_Lo_trinh'!$A$7:$N$11,6,FALSE),""))</f>
        <v/>
      </c>
      <c r="E93" s="132" t="n"/>
      <c r="F93" s="132" t="n"/>
      <c r="G93" s="132" t="n"/>
      <c r="H93" s="132" t="n"/>
      <c r="I93" s="128">
        <f>IF(COUNT(E93:H93)=0,"",SUM(E93:H93))</f>
        <v/>
      </c>
      <c r="J93" s="132" t="n"/>
      <c r="K93" s="128">
        <f>IF(OR(S93&lt;&gt;1,NOT(ISNUMBER(J93)),J93&lt;0,J93&gt;I93),"",IF(B93="G4",IF(ISNUMBER('01_Thiet_lap'!$D$24),MAX(0,'01_Thiet_lap'!$D$24-J93),""),MAX(0,'01_Thiet_lap'!$D$10-J93)))</f>
        <v/>
      </c>
      <c r="L93" s="128">
        <f>IF(AND(ISNUMBER(I93),ISNUMBER(D93)),D93-I93,"")</f>
        <v/>
      </c>
      <c r="M93" s="132" t="n"/>
      <c r="N93" s="128">
        <f>IF(AND(ISNUMBER(I93),ISNUMBER(M93)),I93+M93,"")</f>
        <v/>
      </c>
      <c r="O93" s="38">
        <f>IF(B93="","",IFERROR(VLOOKUP(B93,'02_Lo_trinh'!$A$7:$N$11,10,FALSE),"Cần chọn lại giai đoạn"))</f>
        <v/>
      </c>
      <c r="P93" s="38">
        <f>IF(COUNT(E93:H93,M93)=0,"",IF(NOT(ISNUMBER(A93)),"Cần cập nhật ngày",IF(COUNTIF('02_Lo_trinh'!$A$7:$A$11,B93)&lt;&gt;1,"Cần chọn giai đoạn",IF(COUNTIF($A$7:$A$96,A93)&gt;1,"Cần rà soát ngày trùng",IF(COUNT(E93:H93)&lt;4,"Cần nhập đủ 4 khoản chi",IF(MIN(E93:H93)&lt;0,"Cần rà soát khoản chi âm",IF(O93&lt;&gt;"Đã phê duyệt","Cần đối chiếu phê duyệt",IF(NOT(ISNUMBER(J93)),"Cần ghi phần dự phòng",IF(OR(J93&lt;0,J93&gt;I93),"Cần rà soát số tiền dự phòng",IF(AND(B93="G4",NOT(ISNUMBER('01_Thiet_lap'!$D$24))),"Cần chốt dự phòng cấp 2",IF(AND(B93&lt;&gt;"G4",J93&gt;'01_Thiet_lap'!$D$10),"Cần rà soát mức dự phòng",IF(AND(B93="G4",ISNUMBER('01_Thiet_lap'!$D$24),J93&gt;'01_Thiet_lap'!$D$24),"Cần rà soát dự phòng cấp 2",IF(AND(J93&gt;0,Q93=""),"Cần bổ sung lý do dùng dự phòng",IF(C93&lt;&gt;"Hợp lệ","Chi phát sinh ngoài ngày hợp lệ",IF(NOT(ISNUMBER(M93)),"Chờ xác nhận thuế/phí",IF(I93&gt;D93,"Cần rà soát mức chi trong ngày","Đã ghi nhận"))))))))))))))))</f>
        <v/>
      </c>
      <c r="Q93" s="43" t="n"/>
      <c r="R93" s="43" t="n"/>
      <c r="S93" s="129">
        <f>IF(AND(ISNUMBER(A93),COUNTIF('02_Lo_trinh'!$A$7:$A$11,B93)=1,C93="Hợp lệ",COUNT(E93:H93)=4,I93&gt;0,COUNTIF($A$7:$A$96,A93)=1),1,0)</f>
        <v/>
      </c>
    </row>
    <row r="94" ht="38" customHeight="1">
      <c r="A94" s="130" t="inlineStr">
        <is>
          <t>[Chưa chốt]</t>
        </is>
      </c>
      <c r="B94" s="43" t="n"/>
      <c r="C94" s="43" t="inlineStr">
        <is>
          <t>Chưa xác nhận</t>
        </is>
      </c>
      <c r="D94" s="128">
        <f>IF(B94="","",IFERROR(VLOOKUP(B94,'02_Lo_trinh'!$A$7:$N$11,6,FALSE),""))</f>
        <v/>
      </c>
      <c r="E94" s="132" t="n"/>
      <c r="F94" s="132" t="n"/>
      <c r="G94" s="132" t="n"/>
      <c r="H94" s="132" t="n"/>
      <c r="I94" s="128">
        <f>IF(COUNT(E94:H94)=0,"",SUM(E94:H94))</f>
        <v/>
      </c>
      <c r="J94" s="132" t="n"/>
      <c r="K94" s="128">
        <f>IF(OR(S94&lt;&gt;1,NOT(ISNUMBER(J94)),J94&lt;0,J94&gt;I94),"",IF(B94="G4",IF(ISNUMBER('01_Thiet_lap'!$D$24),MAX(0,'01_Thiet_lap'!$D$24-J94),""),MAX(0,'01_Thiet_lap'!$D$10-J94)))</f>
        <v/>
      </c>
      <c r="L94" s="128">
        <f>IF(AND(ISNUMBER(I94),ISNUMBER(D94)),D94-I94,"")</f>
        <v/>
      </c>
      <c r="M94" s="132" t="n"/>
      <c r="N94" s="128">
        <f>IF(AND(ISNUMBER(I94),ISNUMBER(M94)),I94+M94,"")</f>
        <v/>
      </c>
      <c r="O94" s="38">
        <f>IF(B94="","",IFERROR(VLOOKUP(B94,'02_Lo_trinh'!$A$7:$N$11,10,FALSE),"Cần chọn lại giai đoạn"))</f>
        <v/>
      </c>
      <c r="P94" s="38">
        <f>IF(COUNT(E94:H94,M94)=0,"",IF(NOT(ISNUMBER(A94)),"Cần cập nhật ngày",IF(COUNTIF('02_Lo_trinh'!$A$7:$A$11,B94)&lt;&gt;1,"Cần chọn giai đoạn",IF(COUNTIF($A$7:$A$96,A94)&gt;1,"Cần rà soát ngày trùng",IF(COUNT(E94:H94)&lt;4,"Cần nhập đủ 4 khoản chi",IF(MIN(E94:H94)&lt;0,"Cần rà soát khoản chi âm",IF(O94&lt;&gt;"Đã phê duyệt","Cần đối chiếu phê duyệt",IF(NOT(ISNUMBER(J94)),"Cần ghi phần dự phòng",IF(OR(J94&lt;0,J94&gt;I94),"Cần rà soát số tiền dự phòng",IF(AND(B94="G4",NOT(ISNUMBER('01_Thiet_lap'!$D$24))),"Cần chốt dự phòng cấp 2",IF(AND(B94&lt;&gt;"G4",J94&gt;'01_Thiet_lap'!$D$10),"Cần rà soát mức dự phòng",IF(AND(B94="G4",ISNUMBER('01_Thiet_lap'!$D$24),J94&gt;'01_Thiet_lap'!$D$24),"Cần rà soát dự phòng cấp 2",IF(AND(J94&gt;0,Q94=""),"Cần bổ sung lý do dùng dự phòng",IF(C94&lt;&gt;"Hợp lệ","Chi phát sinh ngoài ngày hợp lệ",IF(NOT(ISNUMBER(M94)),"Chờ xác nhận thuế/phí",IF(I94&gt;D94,"Cần rà soát mức chi trong ngày","Đã ghi nhận"))))))))))))))))</f>
        <v/>
      </c>
      <c r="Q94" s="43" t="n"/>
      <c r="R94" s="43" t="n"/>
      <c r="S94" s="129">
        <f>IF(AND(ISNUMBER(A94),COUNTIF('02_Lo_trinh'!$A$7:$A$11,B94)=1,C94="Hợp lệ",COUNT(E94:H94)=4,I94&gt;0,COUNTIF($A$7:$A$96,A94)=1),1,0)</f>
        <v/>
      </c>
    </row>
    <row r="95" ht="38" customHeight="1">
      <c r="A95" s="130" t="inlineStr">
        <is>
          <t>[Chưa chốt]</t>
        </is>
      </c>
      <c r="B95" s="43" t="n"/>
      <c r="C95" s="43" t="inlineStr">
        <is>
          <t>Chưa xác nhận</t>
        </is>
      </c>
      <c r="D95" s="128">
        <f>IF(B95="","",IFERROR(VLOOKUP(B95,'02_Lo_trinh'!$A$7:$N$11,6,FALSE),""))</f>
        <v/>
      </c>
      <c r="E95" s="132" t="n"/>
      <c r="F95" s="132" t="n"/>
      <c r="G95" s="132" t="n"/>
      <c r="H95" s="132" t="n"/>
      <c r="I95" s="128">
        <f>IF(COUNT(E95:H95)=0,"",SUM(E95:H95))</f>
        <v/>
      </c>
      <c r="J95" s="132" t="n"/>
      <c r="K95" s="128">
        <f>IF(OR(S95&lt;&gt;1,NOT(ISNUMBER(J95)),J95&lt;0,J95&gt;I95),"",IF(B95="G4",IF(ISNUMBER('01_Thiet_lap'!$D$24),MAX(0,'01_Thiet_lap'!$D$24-J95),""),MAX(0,'01_Thiet_lap'!$D$10-J95)))</f>
        <v/>
      </c>
      <c r="L95" s="128">
        <f>IF(AND(ISNUMBER(I95),ISNUMBER(D95)),D95-I95,"")</f>
        <v/>
      </c>
      <c r="M95" s="132" t="n"/>
      <c r="N95" s="128">
        <f>IF(AND(ISNUMBER(I95),ISNUMBER(M95)),I95+M95,"")</f>
        <v/>
      </c>
      <c r="O95" s="38">
        <f>IF(B95="","",IFERROR(VLOOKUP(B95,'02_Lo_trinh'!$A$7:$N$11,10,FALSE),"Cần chọn lại giai đoạn"))</f>
        <v/>
      </c>
      <c r="P95" s="38">
        <f>IF(COUNT(E95:H95,M95)=0,"",IF(NOT(ISNUMBER(A95)),"Cần cập nhật ngày",IF(COUNTIF('02_Lo_trinh'!$A$7:$A$11,B95)&lt;&gt;1,"Cần chọn giai đoạn",IF(COUNTIF($A$7:$A$96,A95)&gt;1,"Cần rà soát ngày trùng",IF(COUNT(E95:H95)&lt;4,"Cần nhập đủ 4 khoản chi",IF(MIN(E95:H95)&lt;0,"Cần rà soát khoản chi âm",IF(O95&lt;&gt;"Đã phê duyệt","Cần đối chiếu phê duyệt",IF(NOT(ISNUMBER(J95)),"Cần ghi phần dự phòng",IF(OR(J95&lt;0,J95&gt;I95),"Cần rà soát số tiền dự phòng",IF(AND(B95="G4",NOT(ISNUMBER('01_Thiet_lap'!$D$24))),"Cần chốt dự phòng cấp 2",IF(AND(B95&lt;&gt;"G4",J95&gt;'01_Thiet_lap'!$D$10),"Cần rà soát mức dự phòng",IF(AND(B95="G4",ISNUMBER('01_Thiet_lap'!$D$24),J95&gt;'01_Thiet_lap'!$D$24),"Cần rà soát dự phòng cấp 2",IF(AND(J95&gt;0,Q95=""),"Cần bổ sung lý do dùng dự phòng",IF(C95&lt;&gt;"Hợp lệ","Chi phát sinh ngoài ngày hợp lệ",IF(NOT(ISNUMBER(M95)),"Chờ xác nhận thuế/phí",IF(I95&gt;D95,"Cần rà soát mức chi trong ngày","Đã ghi nhận"))))))))))))))))</f>
        <v/>
      </c>
      <c r="Q95" s="43" t="n"/>
      <c r="R95" s="43" t="n"/>
      <c r="S95" s="129">
        <f>IF(AND(ISNUMBER(A95),COUNTIF('02_Lo_trinh'!$A$7:$A$11,B95)=1,C95="Hợp lệ",COUNT(E95:H95)=4,I95&gt;0,COUNTIF($A$7:$A$96,A95)=1),1,0)</f>
        <v/>
      </c>
    </row>
    <row r="96" ht="38" customHeight="1">
      <c r="A96" s="130" t="inlineStr">
        <is>
          <t>[Chưa chốt]</t>
        </is>
      </c>
      <c r="B96" s="43" t="n"/>
      <c r="C96" s="43" t="inlineStr">
        <is>
          <t>Chưa xác nhận</t>
        </is>
      </c>
      <c r="D96" s="128">
        <f>IF(B96="","",IFERROR(VLOOKUP(B96,'02_Lo_trinh'!$A$7:$N$11,6,FALSE),""))</f>
        <v/>
      </c>
      <c r="E96" s="132" t="n"/>
      <c r="F96" s="132" t="n"/>
      <c r="G96" s="132" t="n"/>
      <c r="H96" s="132" t="n"/>
      <c r="I96" s="128">
        <f>IF(COUNT(E96:H96)=0,"",SUM(E96:H96))</f>
        <v/>
      </c>
      <c r="J96" s="132" t="n"/>
      <c r="K96" s="128">
        <f>IF(OR(S96&lt;&gt;1,NOT(ISNUMBER(J96)),J96&lt;0,J96&gt;I96),"",IF(B96="G4",IF(ISNUMBER('01_Thiet_lap'!$D$24),MAX(0,'01_Thiet_lap'!$D$24-J96),""),MAX(0,'01_Thiet_lap'!$D$10-J96)))</f>
        <v/>
      </c>
      <c r="L96" s="128">
        <f>IF(AND(ISNUMBER(I96),ISNUMBER(D96)),D96-I96,"")</f>
        <v/>
      </c>
      <c r="M96" s="132" t="n"/>
      <c r="N96" s="128">
        <f>IF(AND(ISNUMBER(I96),ISNUMBER(M96)),I96+M96,"")</f>
        <v/>
      </c>
      <c r="O96" s="38">
        <f>IF(B96="","",IFERROR(VLOOKUP(B96,'02_Lo_trinh'!$A$7:$N$11,10,FALSE),"Cần chọn lại giai đoạn"))</f>
        <v/>
      </c>
      <c r="P96" s="38">
        <f>IF(COUNT(E96:H96,M96)=0,"",IF(NOT(ISNUMBER(A96)),"Cần cập nhật ngày",IF(COUNTIF('02_Lo_trinh'!$A$7:$A$11,B96)&lt;&gt;1,"Cần chọn giai đoạn",IF(COUNTIF($A$7:$A$96,A96)&gt;1,"Cần rà soát ngày trùng",IF(COUNT(E96:H96)&lt;4,"Cần nhập đủ 4 khoản chi",IF(MIN(E96:H96)&lt;0,"Cần rà soát khoản chi âm",IF(O96&lt;&gt;"Đã phê duyệt","Cần đối chiếu phê duyệt",IF(NOT(ISNUMBER(J96)),"Cần ghi phần dự phòng",IF(OR(J96&lt;0,J96&gt;I96),"Cần rà soát số tiền dự phòng",IF(AND(B96="G4",NOT(ISNUMBER('01_Thiet_lap'!$D$24))),"Cần chốt dự phòng cấp 2",IF(AND(B96&lt;&gt;"G4",J96&gt;'01_Thiet_lap'!$D$10),"Cần rà soát mức dự phòng",IF(AND(B96="G4",ISNUMBER('01_Thiet_lap'!$D$24),J96&gt;'01_Thiet_lap'!$D$24),"Cần rà soát dự phòng cấp 2",IF(AND(J96&gt;0,Q96=""),"Cần bổ sung lý do dùng dự phòng",IF(C96&lt;&gt;"Hợp lệ","Chi phát sinh ngoài ngày hợp lệ",IF(NOT(ISNUMBER(M96)),"Chờ xác nhận thuế/phí",IF(I96&gt;D96,"Cần rà soát mức chi trong ngày","Đã ghi nhận"))))))))))))))))</f>
        <v/>
      </c>
      <c r="Q96" s="43" t="n"/>
      <c r="R96" s="43" t="n"/>
      <c r="S96" s="129">
        <f>IF(AND(ISNUMBER(A96),COUNTIF('02_Lo_trinh'!$A$7:$A$11,B96)=1,C96="Hợp lệ",COUNT(E96:H96)=4,I96&gt;0,COUNTIF($A$7:$A$96,A96)=1),1,0)</f>
        <v/>
      </c>
    </row>
    <row r="97" ht="22" customHeight="1">
      <c r="A97" s="5" t="n"/>
      <c r="B97" s="5" t="n"/>
      <c r="C97" s="5" t="n"/>
      <c r="D97" s="5" t="n"/>
      <c r="E97" s="5" t="n"/>
      <c r="F97" s="5" t="n"/>
      <c r="G97" s="5" t="n"/>
      <c r="H97" s="5" t="n"/>
      <c r="I97" s="5" t="n"/>
      <c r="J97" s="5" t="n"/>
      <c r="K97" s="5" t="n"/>
      <c r="L97" s="5" t="n"/>
      <c r="M97" s="5" t="n"/>
      <c r="N97" s="5" t="n"/>
      <c r="O97" s="5" t="n"/>
      <c r="P97" s="5" t="n"/>
      <c r="Q97" s="5" t="n"/>
      <c r="R97" s="5" t="n"/>
      <c r="S97" s="5" t="n"/>
    </row>
    <row r="98" ht="22" customHeight="1">
      <c r="A98" s="17" t="inlineStr">
        <is>
          <t>Khung/ngày là mốc quản trị bình quân. Chênh lệch theo ngày cần được xem cùng chi tiêu lũy kế và phạm vi phê duyệt. Tổng gồm thuế/phí chỉ hiện sau khi khoản thuế/phí đã được nhập, kể cả bằng 0.</t>
        </is>
      </c>
      <c r="B98" s="1" t="n"/>
      <c r="C98" s="1" t="n"/>
      <c r="D98" s="1" t="n"/>
      <c r="E98" s="1" t="n"/>
      <c r="F98" s="1" t="n"/>
      <c r="G98" s="1" t="n"/>
      <c r="H98" s="1" t="n"/>
      <c r="I98" s="1" t="n"/>
      <c r="J98" s="1" t="n"/>
      <c r="K98" s="1" t="n"/>
      <c r="L98" s="1" t="n"/>
      <c r="M98" s="1" t="n"/>
      <c r="N98" s="1" t="n"/>
      <c r="O98" s="1" t="n"/>
      <c r="P98" s="1" t="n"/>
      <c r="Q98" s="1" t="n"/>
      <c r="R98" s="1" t="n"/>
      <c r="S98" s="1" t="n"/>
    </row>
    <row r="99" ht="22" customHeight="1">
      <c r="A99" s="1" t="n"/>
      <c r="B99" s="1" t="n"/>
      <c r="C99" s="1" t="n"/>
      <c r="D99" s="1" t="n"/>
      <c r="E99" s="1" t="n"/>
      <c r="F99" s="1" t="n"/>
      <c r="G99" s="1" t="n"/>
      <c r="H99" s="1" t="n"/>
      <c r="I99" s="1" t="n"/>
      <c r="J99" s="1" t="n"/>
      <c r="K99" s="1" t="n"/>
      <c r="L99" s="1" t="n"/>
      <c r="M99" s="1" t="n"/>
      <c r="N99" s="1" t="n"/>
      <c r="O99" s="1" t="n"/>
      <c r="P99" s="1" t="n"/>
      <c r="Q99" s="1" t="n"/>
      <c r="R99" s="1" t="n"/>
      <c r="S99" s="1" t="n"/>
    </row>
    <row r="100" ht="22" customHeight="1">
      <c r="A100" s="17" t="inlineStr">
        <is>
          <t>Dự phòng còn giữ chỉ tính trên ngày hợp lệ có thông tin dự phòng đầy đủ; không mặc định được chuyển sang ngày sau. Dòng có chi nhưng thiếu ngày/mã vẫn nằm trong tổng chi toàn chiến dịch và được gắn nội dung cần rà soát.</t>
        </is>
      </c>
      <c r="B100" s="1" t="n"/>
      <c r="C100" s="1" t="n"/>
      <c r="D100" s="1" t="n"/>
      <c r="E100" s="1" t="n"/>
      <c r="F100" s="1" t="n"/>
      <c r="G100" s="1" t="n"/>
      <c r="H100" s="1" t="n"/>
      <c r="I100" s="1" t="n"/>
      <c r="J100" s="1" t="n"/>
      <c r="K100" s="1" t="n"/>
      <c r="L100" s="1" t="n"/>
      <c r="M100" s="1" t="n"/>
      <c r="N100" s="1" t="n"/>
      <c r="O100" s="1" t="n"/>
      <c r="P100" s="1" t="n"/>
      <c r="Q100" s="1" t="n"/>
      <c r="R100" s="1" t="n"/>
      <c r="S100" s="1" t="n"/>
    </row>
    <row r="101" ht="22" customHeight="1">
      <c r="A101" s="1" t="n"/>
      <c r="B101" s="1" t="n"/>
      <c r="C101" s="1" t="n"/>
      <c r="D101" s="1" t="n"/>
      <c r="E101" s="1" t="n"/>
      <c r="F101" s="1" t="n"/>
      <c r="G101" s="1" t="n"/>
      <c r="H101" s="1" t="n"/>
      <c r="I101" s="1" t="n"/>
      <c r="J101" s="1" t="n"/>
      <c r="K101" s="1" t="n"/>
      <c r="L101" s="1" t="n"/>
      <c r="M101" s="1" t="n"/>
      <c r="N101" s="1" t="n"/>
      <c r="O101" s="1" t="n"/>
      <c r="P101" s="1" t="n"/>
      <c r="Q101" s="1" t="n"/>
      <c r="R101" s="1" t="n"/>
      <c r="S101" s="1" t="n"/>
    </row>
  </sheetData>
  <mergeCells count="4">
    <mergeCell ref="A1:S2"/>
    <mergeCell ref="A100:S101"/>
    <mergeCell ref="A98:S99"/>
    <mergeCell ref="A3:S4"/>
  </mergeCells>
  <conditionalFormatting sqref="L7:L96">
    <cfRule type="cellIs" priority="1" operator="lessThan" dxfId="2">
      <formula>0</formula>
    </cfRule>
  </conditionalFormatting>
  <conditionalFormatting sqref="P7:P96">
    <cfRule type="expression" priority="2" dxfId="1">
      <formula>AND(P7&lt;&gt;"",P7&lt;&gt;"Đã ghi nhận")</formula>
    </cfRule>
  </conditionalFormatting>
  <conditionalFormatting sqref="A7:A96">
    <cfRule type="expression" priority="3" dxfId="5">
      <formula>AND(ISNUMBER(A7),COUNTIF($A$7:$A$96,A7)&gt;1)</formula>
    </cfRule>
  </conditionalFormatting>
  <dataValidations count="2">
    <dataValidation sqref="B7:B96" showDropDown="0" showInputMessage="0" showErrorMessage="0" allowBlank="0" type="list">
      <formula1>"G1,G2,G3.1,G3.2,G4"</formula1>
    </dataValidation>
    <dataValidation sqref="C7:C96" showDropDown="0" showInputMessage="0" showErrorMessage="0" allowBlank="0" type="list">
      <formula1>"Chưa xác nhận,Hợp lệ,Không tính,Tạm dừng"</formula1>
    </dataValidation>
  </dataValidations>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J132"/>
  <sheetViews>
    <sheetView workbookViewId="0">
      <selection activeCell="A1" sqref="A1"/>
    </sheetView>
  </sheetViews>
  <sheetFormatPr baseColWidth="8" defaultRowHeight="15"/>
  <cols>
    <col width="12" customWidth="1" min="1" max="1"/>
    <col width="40" customWidth="1" min="2" max="2"/>
    <col width="16" customWidth="1" min="3" max="3"/>
    <col width="22" customWidth="1" min="4" max="4"/>
    <col width="23" customWidth="1" min="5" max="5"/>
    <col width="21" customWidth="1" min="6" max="6"/>
    <col width="24" customWidth="1" min="7" max="7"/>
    <col width="32" customWidth="1" min="8" max="8"/>
    <col width="40" customWidth="1" min="9" max="9"/>
    <col width="40" customWidth="1" min="10" max="10"/>
  </cols>
  <sheetData>
    <row r="1" ht="24" customHeight="1">
      <c r="A1" s="13" t="inlineStr">
        <is>
          <t>ĐÁNH GIÁ THEO CHU KỲ &amp; HỒ SƠ ĐỐI CHIẾU</t>
        </is>
      </c>
      <c r="B1" s="1" t="n"/>
      <c r="C1" s="1" t="n"/>
      <c r="D1" s="1" t="n"/>
      <c r="E1" s="1" t="n"/>
      <c r="F1" s="1" t="n"/>
      <c r="G1" s="1" t="n"/>
      <c r="H1" s="1" t="n"/>
      <c r="I1" s="1" t="n"/>
      <c r="J1" s="1" t="n"/>
    </row>
    <row r="2" ht="24" customHeight="1">
      <c r="A2" s="1" t="n"/>
      <c r="B2" s="1" t="n"/>
      <c r="C2" s="1" t="n"/>
      <c r="D2" s="1" t="n"/>
      <c r="E2" s="1" t="n"/>
      <c r="F2" s="1" t="n"/>
      <c r="G2" s="1" t="n"/>
      <c r="H2" s="1" t="n"/>
      <c r="I2" s="1" t="n"/>
      <c r="J2" s="1" t="n"/>
    </row>
    <row r="3" ht="22" customHeight="1">
      <c r="A3" s="17" t="inlineStr">
        <is>
          <t>Mỗi kỳ có các tiêu chí tham chiếu; chỉ cập nhật tiêu chí phù hợp với quyết định đang xem xét. Ô trống không được hiểu là đạt. Nhận định sơ bộ không thay thế phê duyệt.</t>
        </is>
      </c>
      <c r="B3" s="1" t="n"/>
      <c r="C3" s="1" t="n"/>
      <c r="D3" s="1" t="n"/>
      <c r="E3" s="1" t="n"/>
      <c r="F3" s="1" t="n"/>
      <c r="G3" s="1" t="n"/>
      <c r="H3" s="1" t="n"/>
      <c r="I3" s="1" t="n"/>
      <c r="J3" s="1" t="n"/>
    </row>
    <row r="4" ht="22" customHeight="1">
      <c r="A4" s="1" t="n"/>
      <c r="B4" s="1" t="n"/>
      <c r="C4" s="1" t="n"/>
      <c r="D4" s="1" t="n"/>
      <c r="E4" s="1" t="n"/>
      <c r="F4" s="1" t="n"/>
      <c r="G4" s="1" t="n"/>
      <c r="H4" s="1" t="n"/>
      <c r="I4" s="1" t="n"/>
      <c r="J4" s="1" t="n"/>
    </row>
    <row r="5" ht="30" customHeight="1">
      <c r="A5" s="17" t="inlineStr">
        <is>
          <t>Cấp 1: cải thiện ≥20% HOẶC giảm chi phí ≥15% với chất lượng tương đương. Cấp 2: xem xét cả hai chu kỳ cấp 1, mức suy giảm và dư địa đúng tệp.</t>
        </is>
      </c>
      <c r="B5" s="1" t="n"/>
      <c r="C5" s="1" t="n"/>
      <c r="D5" s="1" t="n"/>
      <c r="E5" s="1" t="n"/>
      <c r="F5" s="1" t="n"/>
      <c r="G5" s="1" t="n"/>
      <c r="H5" s="1" t="n"/>
      <c r="I5" s="1" t="n"/>
      <c r="J5" s="1" t="n"/>
    </row>
    <row r="6" ht="42" customHeight="1">
      <c r="A6" s="18" t="inlineStr">
        <is>
          <t>Kỳ</t>
        </is>
      </c>
      <c r="B6" s="18" t="inlineStr">
        <is>
          <t>Tiêu chí</t>
        </is>
      </c>
      <c r="C6" s="18" t="inlineStr">
        <is>
          <t>Ngày đánh giá</t>
        </is>
      </c>
      <c r="D6" s="18" t="inlineStr">
        <is>
          <t>Mốc đối chiếu / tổng quan sát</t>
        </is>
      </c>
      <c r="E6" s="18" t="inlineStr">
        <is>
          <t>Kỳ hiện tại / đúng chủ đề</t>
        </is>
      </c>
      <c r="F6" s="18" t="inlineStr">
        <is>
          <t>Kết quả tính</t>
        </is>
      </c>
      <c r="G6" s="18" t="inlineStr">
        <is>
          <t>Mốc tham chiếu</t>
        </is>
      </c>
      <c r="H6" s="18" t="inlineStr">
        <is>
          <t>Nhận định sơ bộ</t>
        </is>
      </c>
      <c r="I6" s="18" t="inlineStr">
        <is>
          <t>Bằng chứng / nguồn đối chiếu</t>
        </is>
      </c>
      <c r="J6" s="18" t="inlineStr">
        <is>
          <t>Ghi chú / định nghĩa chỉ số</t>
        </is>
      </c>
    </row>
    <row r="7" ht="72" customHeight="1">
      <c r="A7" s="14" t="inlineStr">
        <is>
          <t>KY01</t>
        </is>
      </c>
      <c r="B7" s="14" t="inlineStr">
        <is>
          <t>Đúng nhóm doanh nghiệp và vai trò</t>
        </is>
      </c>
      <c r="C7" s="130" t="inlineStr">
        <is>
          <t>[Chưa chốt]</t>
        </is>
      </c>
      <c r="D7" s="133" t="n"/>
      <c r="E7" s="134" t="n"/>
      <c r="F7" s="102">
        <f>IF(E7="","",E7)</f>
        <v/>
      </c>
      <c r="G7" s="102" t="inlineStr">
        <is>
          <t>Đã xác nhận</t>
        </is>
      </c>
      <c r="H7" s="38">
        <f>IF(E7="","Chưa nhập dữ liệu",IF(NOT(ISNUMBER(C7)),"Cần cập nhật ngày",IF(I7="","Chờ hồ sơ đối chiếu",IF(E7="Đã xác nhận","Đạt mốc tham chiếu","Cần xem xét thêm"))))</f>
        <v/>
      </c>
      <c r="I7" s="43" t="n"/>
      <c r="J7" s="43" t="inlineStr">
        <is>
          <t>Đối chiếu dữ liệu tiếp cận với nhóm doanh nghiệp và vai trò đã thống nhất.</t>
        </is>
      </c>
    </row>
    <row r="8" ht="72" customHeight="1">
      <c r="A8" s="14" t="inlineStr">
        <is>
          <t>KY01</t>
        </is>
      </c>
      <c r="B8" s="14" t="inlineStr">
        <is>
          <t>Lượt nhấp Search liên quan đúng chủ đề</t>
        </is>
      </c>
      <c r="C8" s="130" t="inlineStr">
        <is>
          <t>[Chưa chốt]</t>
        </is>
      </c>
      <c r="D8" s="135" t="n"/>
      <c r="E8" s="135" t="n"/>
      <c r="F8" s="136">
        <f>IF(AND(ISNUMBER(D8),ISNUMBER(E8),D8&gt;0,E8&gt;=0),E8/D8,"")</f>
        <v/>
      </c>
      <c r="G8" s="136">
        <f>'01_Thiet_lap'!$D$18</f>
        <v/>
      </c>
      <c r="H8" s="38">
        <f>IF(COUNT(D8:E8)=0,"Chưa nhập dữ liệu",IF(NOT(ISNUMBER(F8)),"Cần rà soát số liệu",IF(NOT(ISNUMBER(C8)),"Cần cập nhật ngày",IF(E8&gt;D8,"Cần rà soát số liệu",IF(D8&lt;'01_Thiet_lap'!$D$23,"Cần thêm dữ liệu quan sát",IF(I8="","Chờ hồ sơ đối chiếu",IF(F8&gt;=G8,"Đạt mốc tham chiếu","Cần xem xét thêm")))))))</f>
        <v/>
      </c>
      <c r="I8" s="43" t="n"/>
      <c r="J8" s="43" t="inlineStr">
        <is>
          <t>Cột D: tổng nhấp được kiểm tra. Cột E: nhấp đúng chủ đề. Mốc 7/10 là tham chiếu vận hành, không khẳng định độ tin cậy thống kê.</t>
        </is>
      </c>
    </row>
    <row r="9" ht="72" customHeight="1">
      <c r="A9" s="14" t="inlineStr">
        <is>
          <t>KY01</t>
        </is>
      </c>
      <c r="B9" s="14" t="inlineStr">
        <is>
          <t>Duy trì mức quan tâm so với ban đầu</t>
        </is>
      </c>
      <c r="C9" s="130" t="inlineStr">
        <is>
          <t>[Chưa chốt]</t>
        </is>
      </c>
      <c r="D9" s="135" t="n"/>
      <c r="E9" s="135" t="n"/>
      <c r="F9" s="136">
        <f>IF(AND(ISNUMBER(D9),ISNUMBER(E9),D9&gt;0,E9&gt;=0),E9/D9,"")</f>
        <v/>
      </c>
      <c r="G9" s="136">
        <f>'01_Thiet_lap'!$D$19</f>
        <v/>
      </c>
      <c r="H9" s="38">
        <f>IF(COUNT(D9:E9)=0,"Chưa nhập dữ liệu",IF(NOT(ISNUMBER(F9)),"Cần rà soát số liệu",IF(NOT(ISNUMBER(C9)),"Cần cập nhật ngày",IF(OR('01_Thiet_lap'!$D$28="",'01_Thiet_lap'!$D$28="[Chưa thống nhất]"),"Chờ thống nhất chỉ số",IF(I9="","Chờ hồ sơ đối chiếu",IF(F9&gt;=G9,"Đạt mốc tham chiếu","Cần xem xét thêm"))))))</f>
        <v/>
      </c>
      <c r="I9" s="43" t="n"/>
      <c r="J9" s="43" t="inlineStr">
        <is>
          <t>D/E dùng cùng chỉ số quan tâm tại Thiết lập. Kết quả = hiện tại / ban đầu.</t>
        </is>
      </c>
    </row>
    <row r="10" ht="72" customHeight="1">
      <c r="A10" s="14" t="inlineStr">
        <is>
          <t>KY01</t>
        </is>
      </c>
      <c r="B10" s="14" t="inlineStr">
        <is>
          <t>Cải thiện của phương án được ưu tiên</t>
        </is>
      </c>
      <c r="C10" s="130" t="inlineStr">
        <is>
          <t>[Chưa chốt]</t>
        </is>
      </c>
      <c r="D10" s="135" t="n"/>
      <c r="E10" s="135" t="n"/>
      <c r="F10" s="136">
        <f>IF(AND(ISNUMBER(D10),ISNUMBER(E10),D10&gt;0,E10&gt;=0),E10/D10-1,"")</f>
        <v/>
      </c>
      <c r="G10" s="136">
        <f>'01_Thiet_lap'!$D$20</f>
        <v/>
      </c>
      <c r="H10" s="38">
        <f>IF(COUNT(D10:E10)=0,"Chưa nhập dữ liệu",IF(NOT(ISNUMBER(F10)),"Cần rà soát số liệu",IF(NOT(ISNUMBER(C10)),"Cần cập nhật ngày",IF(OR('01_Thiet_lap'!$D$29="",'01_Thiet_lap'!$D$29="[Chưa thống nhất]"),"Chờ thống nhất chỉ số",IF(I10="","Chờ hồ sơ đối chiếu",IF(F10&gt;=G10,"Đạt mốc tham chiếu","Cần xem xét thêm"))))))</f>
        <v/>
      </c>
      <c r="I10" s="43" t="n"/>
      <c r="J10" s="43" t="inlineStr">
        <is>
          <t>D: phương án đối chiếu; E: phương án được ưu tiên. Dùng chỉ số tăng là tốt hơn. Tiêu chí này là một lựa chọn thay thế cho giảm chi phí.</t>
        </is>
      </c>
    </row>
    <row r="11" ht="72" customHeight="1">
      <c r="A11" s="14" t="inlineStr">
        <is>
          <t>KY01</t>
        </is>
      </c>
      <c r="B11" s="14" t="inlineStr">
        <is>
          <t>Giảm chi phí với chất lượng tương đương</t>
        </is>
      </c>
      <c r="C11" s="130" t="inlineStr">
        <is>
          <t>[Chưa chốt]</t>
        </is>
      </c>
      <c r="D11" s="135" t="n"/>
      <c r="E11" s="135" t="n"/>
      <c r="F11" s="136">
        <f>IF(AND(ISNUMBER(D11),ISNUMBER(E11),D11&gt;0,E11&gt;=0),1-E11/D11,"")</f>
        <v/>
      </c>
      <c r="G11" s="136">
        <f>'01_Thiet_lap'!$D$21</f>
        <v/>
      </c>
      <c r="H11" s="38">
        <f>IF(COUNT(D11:E11)=0,"Chưa nhập dữ liệu",IF(NOT(ISNUMBER(F11)),"Cần rà soát số liệu",IF(NOT(ISNUMBER(C11)),"Cần cập nhật ngày",IF(OR('01_Thiet_lap'!$D$30="",'01_Thiet_lap'!$D$30="[Chưa thống nhất]"),"Chờ thống nhất chỉ số",IF(I11="","Chờ hồ sơ đối chiếu",IF(F11&gt;=G11,"Đạt mốc tham chiếu","Cần xem xét thêm"))))))</f>
        <v/>
      </c>
      <c r="I11" s="43" t="n"/>
      <c r="J11" s="43" t="inlineStr">
        <is>
          <t>D/E cùng đơn vị chi phí. Mức giảm = 1 − hiện tại/đối chiếu. Cần kèm bằng chứng chất lượng tương đương.</t>
        </is>
      </c>
    </row>
    <row r="12" ht="72" customHeight="1">
      <c r="A12" s="14" t="inlineStr">
        <is>
          <t>KY01</t>
        </is>
      </c>
      <c r="B12" s="14" t="inlineStr">
        <is>
          <t>Chất lượng ổn định khi tăng phân bổ</t>
        </is>
      </c>
      <c r="C12" s="130" t="inlineStr">
        <is>
          <t>[Chưa chốt]</t>
        </is>
      </c>
      <c r="D12" s="133" t="n"/>
      <c r="E12" s="134" t="n"/>
      <c r="F12" s="102">
        <f>IF(E12="","",E12)</f>
        <v/>
      </c>
      <c r="G12" s="102" t="inlineStr">
        <is>
          <t>Đã xác nhận</t>
        </is>
      </c>
      <c r="H12" s="38">
        <f>IF(E12="","Chưa nhập dữ liệu",IF(NOT(ISNUMBER(C12)),"Cần cập nhật ngày",IF(I12="","Chờ hồ sơ đối chiếu",IF(E12="Đã xác nhận","Đạt mốc tham chiếu","Cần xem xét thêm"))))</f>
        <v/>
      </c>
      <c r="I12" s="43" t="n"/>
      <c r="J12" s="43" t="inlineStr">
        <is>
          <t>Ghi bằng chứng chất lượng được duy trì; không chỉ dựa trên số lượng tương tác.</t>
        </is>
      </c>
    </row>
    <row r="13" ht="72" customHeight="1">
      <c r="A13" s="14" t="inlineStr">
        <is>
          <t>KY01</t>
        </is>
      </c>
      <c r="B13" s="14" t="inlineStr">
        <is>
          <t>Mức suy giảm sau mở rộng cấp 1</t>
        </is>
      </c>
      <c r="C13" s="130" t="inlineStr">
        <is>
          <t>[Chưa chốt]</t>
        </is>
      </c>
      <c r="D13" s="135" t="n"/>
      <c r="E13" s="135" t="n"/>
      <c r="F13" s="136">
        <f>IF(AND(ISNUMBER(D13),ISNUMBER(E13),D13&gt;0,E13&gt;=0),MAX(0,1-E13/D13),"")</f>
        <v/>
      </c>
      <c r="G13" s="136">
        <f>'01_Thiet_lap'!$D$22</f>
        <v/>
      </c>
      <c r="H13" s="38">
        <f>IF(COUNT(D13:E13)=0,"Chưa nhập dữ liệu",IF(NOT(ISNUMBER(F13)),"Cần rà soát số liệu",IF(NOT(ISNUMBER(C13)),"Cần cập nhật ngày",IF(OR('01_Thiet_lap'!$D$28="",'01_Thiet_lap'!$D$28="[Chưa thống nhất]"),"Chờ thống nhất chỉ số",IF(I13="","Chờ hồ sơ đối chiếu",IF(F13&lt;=G13,"Đạt mốc tham chiếu","Cần xem xét thêm"))))))</f>
        <v/>
      </c>
      <c r="I13" s="43" t="n"/>
      <c r="J13" s="43" t="inlineStr">
        <is>
          <t>Dùng khi xét cấp 2. D: mốc đối chiếu đã thống nhất; E: kỳ hiện tại. Mức giảm = MAX(0; 1 − hiện tại/đối chiếu).</t>
        </is>
      </c>
    </row>
    <row r="14" ht="72" customHeight="1">
      <c r="A14" s="14" t="inlineStr">
        <is>
          <t>KY01</t>
        </is>
      </c>
      <c r="B14" s="14" t="inlineStr">
        <is>
          <t>Dư địa tiếp cận thêm đúng nhóm mục tiêu</t>
        </is>
      </c>
      <c r="C14" s="130" t="inlineStr">
        <is>
          <t>[Chưa chốt]</t>
        </is>
      </c>
      <c r="D14" s="133" t="n"/>
      <c r="E14" s="134" t="n"/>
      <c r="F14" s="102">
        <f>IF(E14="","",E14)</f>
        <v/>
      </c>
      <c r="G14" s="102" t="inlineStr">
        <is>
          <t>Đã xác nhận</t>
        </is>
      </c>
      <c r="H14" s="38">
        <f>IF(E14="","Chưa nhập dữ liệu",IF(NOT(ISNUMBER(C14)),"Cần cập nhật ngày",IF(I14="","Chờ hồ sơ đối chiếu",IF(E14="Đã xác nhận","Đạt mốc tham chiếu","Cần xem xét thêm"))))</f>
        <v/>
      </c>
      <c r="I14" s="43" t="n"/>
      <c r="J14" s="43" t="inlineStr">
        <is>
          <t>Dùng khi xem xét mở rộng, đặc biệt cấp 2; đối chiếu phạm vi tệp và chất lượng tiếp cận.</t>
        </is>
      </c>
    </row>
    <row r="15" ht="72" customHeight="1">
      <c r="A15" s="14" t="inlineStr">
        <is>
          <t>KY01</t>
        </is>
      </c>
      <c r="B15" s="14" t="inlineStr">
        <is>
          <t>Độ tin cậy của đo lường và trang đích</t>
        </is>
      </c>
      <c r="C15" s="130" t="inlineStr">
        <is>
          <t>[Chưa chốt]</t>
        </is>
      </c>
      <c r="D15" s="133" t="n"/>
      <c r="E15" s="134" t="n"/>
      <c r="F15" s="102">
        <f>IF(E15="","",E15)</f>
        <v/>
      </c>
      <c r="G15" s="102" t="inlineStr">
        <is>
          <t>Đã xác nhận</t>
        </is>
      </c>
      <c r="H15" s="38">
        <f>IF(E15="","Chưa nhập dữ liệu",IF(NOT(ISNUMBER(C15)),"Cần cập nhật ngày",IF(I15="","Chờ hồ sơ đối chiếu",IF(E15="Đã xác nhận","Đạt mốc tham chiếu","Cần xem xét thêm"))))</f>
        <v/>
      </c>
      <c r="I15" s="43" t="n"/>
      <c r="J15" s="43" t="inlineStr">
        <is>
          <t>Đối chiếu nguồn dữ liệu, trang đích, sự kiện và nơi tiếp nhận biểu mẫu.</t>
        </is>
      </c>
    </row>
    <row r="16" ht="72" customHeight="1">
      <c r="A16" s="14" t="inlineStr">
        <is>
          <t>KY01</t>
        </is>
      </c>
      <c r="B16" s="14" t="inlineStr">
        <is>
          <t>Điều kiện tiếp cận lại nhóm đã tương tác</t>
        </is>
      </c>
      <c r="C16" s="130" t="inlineStr">
        <is>
          <t>[Chưa chốt]</t>
        </is>
      </c>
      <c r="D16" s="133" t="n"/>
      <c r="E16" s="134" t="n"/>
      <c r="F16" s="102">
        <f>IF(E16="","",E16)</f>
        <v/>
      </c>
      <c r="G16" s="102" t="inlineStr">
        <is>
          <t>Đã xác nhận / Không áp dụng</t>
        </is>
      </c>
      <c r="H16" s="38">
        <f>IF(E16="","Chưa nhập dữ liệu",IF(E16="Không áp dụng","Không áp dụng",IF(NOT(ISNUMBER(C16)),"Cần cập nhật ngày",IF(I16="","Chờ hồ sơ đối chiếu",IF(E16="Đã xác nhận","Đạt mốc tham chiếu","Cần xem xét thêm")))))</f>
        <v/>
      </c>
      <c r="I16" s="43" t="n"/>
      <c r="J16" s="43" t="inlineStr">
        <is>
          <t>Chỉ áp dụng khi đề xuất tiếp thị lại. Có thể chọn 'Không áp dụng' nếu chưa sử dụng phương án này.</t>
        </is>
      </c>
    </row>
    <row r="17" ht="72" customHeight="1">
      <c r="A17" s="38" t="inlineStr">
        <is>
          <t>KY02</t>
        </is>
      </c>
      <c r="B17" s="38" t="inlineStr">
        <is>
          <t>Đúng nhóm doanh nghiệp và vai trò</t>
        </is>
      </c>
      <c r="C17" s="130" t="inlineStr">
        <is>
          <t>[Chưa chốt]</t>
        </is>
      </c>
      <c r="D17" s="133" t="n"/>
      <c r="E17" s="134" t="n"/>
      <c r="F17" s="102">
        <f>IF(E17="","",E17)</f>
        <v/>
      </c>
      <c r="G17" s="102" t="inlineStr">
        <is>
          <t>Đã xác nhận</t>
        </is>
      </c>
      <c r="H17" s="38">
        <f>IF(E17="","Chưa nhập dữ liệu",IF(NOT(ISNUMBER(C17)),"Cần cập nhật ngày",IF(I17="","Chờ hồ sơ đối chiếu",IF(E17="Đã xác nhận","Đạt mốc tham chiếu","Cần xem xét thêm"))))</f>
        <v/>
      </c>
      <c r="I17" s="43" t="n"/>
      <c r="J17" s="43" t="inlineStr">
        <is>
          <t>Đối chiếu dữ liệu tiếp cận với nhóm doanh nghiệp và vai trò đã thống nhất.</t>
        </is>
      </c>
    </row>
    <row r="18" ht="72" customHeight="1">
      <c r="A18" s="38" t="inlineStr">
        <is>
          <t>KY02</t>
        </is>
      </c>
      <c r="B18" s="38" t="inlineStr">
        <is>
          <t>Lượt nhấp Search liên quan đúng chủ đề</t>
        </is>
      </c>
      <c r="C18" s="130" t="inlineStr">
        <is>
          <t>[Chưa chốt]</t>
        </is>
      </c>
      <c r="D18" s="135" t="n"/>
      <c r="E18" s="135" t="n"/>
      <c r="F18" s="136">
        <f>IF(AND(ISNUMBER(D18),ISNUMBER(E18),D18&gt;0,E18&gt;=0),E18/D18,"")</f>
        <v/>
      </c>
      <c r="G18" s="136">
        <f>'01_Thiet_lap'!$D$18</f>
        <v/>
      </c>
      <c r="H18" s="38">
        <f>IF(COUNT(D18:E18)=0,"Chưa nhập dữ liệu",IF(NOT(ISNUMBER(F18)),"Cần rà soát số liệu",IF(NOT(ISNUMBER(C18)),"Cần cập nhật ngày",IF(E18&gt;D18,"Cần rà soát số liệu",IF(D18&lt;'01_Thiet_lap'!$D$23,"Cần thêm dữ liệu quan sát",IF(I18="","Chờ hồ sơ đối chiếu",IF(F18&gt;=G18,"Đạt mốc tham chiếu","Cần xem xét thêm")))))))</f>
        <v/>
      </c>
      <c r="I18" s="43" t="n"/>
      <c r="J18" s="43" t="inlineStr">
        <is>
          <t>Cột D: tổng nhấp được kiểm tra. Cột E: nhấp đúng chủ đề. Mốc 7/10 là tham chiếu vận hành, không khẳng định độ tin cậy thống kê.</t>
        </is>
      </c>
    </row>
    <row r="19" ht="72" customHeight="1">
      <c r="A19" s="38" t="inlineStr">
        <is>
          <t>KY02</t>
        </is>
      </c>
      <c r="B19" s="38" t="inlineStr">
        <is>
          <t>Duy trì mức quan tâm so với ban đầu</t>
        </is>
      </c>
      <c r="C19" s="130" t="inlineStr">
        <is>
          <t>[Chưa chốt]</t>
        </is>
      </c>
      <c r="D19" s="135" t="n"/>
      <c r="E19" s="135" t="n"/>
      <c r="F19" s="136">
        <f>IF(AND(ISNUMBER(D19),ISNUMBER(E19),D19&gt;0,E19&gt;=0),E19/D19,"")</f>
        <v/>
      </c>
      <c r="G19" s="136">
        <f>'01_Thiet_lap'!$D$19</f>
        <v/>
      </c>
      <c r="H19" s="38">
        <f>IF(COUNT(D19:E19)=0,"Chưa nhập dữ liệu",IF(NOT(ISNUMBER(F19)),"Cần rà soát số liệu",IF(NOT(ISNUMBER(C19)),"Cần cập nhật ngày",IF(OR('01_Thiet_lap'!$D$28="",'01_Thiet_lap'!$D$28="[Chưa thống nhất]"),"Chờ thống nhất chỉ số",IF(I19="","Chờ hồ sơ đối chiếu",IF(F19&gt;=G19,"Đạt mốc tham chiếu","Cần xem xét thêm"))))))</f>
        <v/>
      </c>
      <c r="I19" s="43" t="n"/>
      <c r="J19" s="43" t="inlineStr">
        <is>
          <t>D/E dùng cùng chỉ số quan tâm tại Thiết lập. Kết quả = hiện tại / ban đầu.</t>
        </is>
      </c>
    </row>
    <row r="20" ht="72" customHeight="1">
      <c r="A20" s="38" t="inlineStr">
        <is>
          <t>KY02</t>
        </is>
      </c>
      <c r="B20" s="38" t="inlineStr">
        <is>
          <t>Cải thiện của phương án được ưu tiên</t>
        </is>
      </c>
      <c r="C20" s="130" t="inlineStr">
        <is>
          <t>[Chưa chốt]</t>
        </is>
      </c>
      <c r="D20" s="135" t="n"/>
      <c r="E20" s="135" t="n"/>
      <c r="F20" s="136">
        <f>IF(AND(ISNUMBER(D20),ISNUMBER(E20),D20&gt;0,E20&gt;=0),E20/D20-1,"")</f>
        <v/>
      </c>
      <c r="G20" s="136">
        <f>'01_Thiet_lap'!$D$20</f>
        <v/>
      </c>
      <c r="H20" s="38">
        <f>IF(COUNT(D20:E20)=0,"Chưa nhập dữ liệu",IF(NOT(ISNUMBER(F20)),"Cần rà soát số liệu",IF(NOT(ISNUMBER(C20)),"Cần cập nhật ngày",IF(OR('01_Thiet_lap'!$D$29="",'01_Thiet_lap'!$D$29="[Chưa thống nhất]"),"Chờ thống nhất chỉ số",IF(I20="","Chờ hồ sơ đối chiếu",IF(F20&gt;=G20,"Đạt mốc tham chiếu","Cần xem xét thêm"))))))</f>
        <v/>
      </c>
      <c r="I20" s="43" t="n"/>
      <c r="J20" s="43" t="inlineStr">
        <is>
          <t>D: phương án đối chiếu; E: phương án được ưu tiên. Dùng chỉ số tăng là tốt hơn. Tiêu chí này là một lựa chọn thay thế cho giảm chi phí.</t>
        </is>
      </c>
    </row>
    <row r="21" ht="72" customHeight="1">
      <c r="A21" s="38" t="inlineStr">
        <is>
          <t>KY02</t>
        </is>
      </c>
      <c r="B21" s="38" t="inlineStr">
        <is>
          <t>Giảm chi phí với chất lượng tương đương</t>
        </is>
      </c>
      <c r="C21" s="130" t="inlineStr">
        <is>
          <t>[Chưa chốt]</t>
        </is>
      </c>
      <c r="D21" s="135" t="n"/>
      <c r="E21" s="135" t="n"/>
      <c r="F21" s="136">
        <f>IF(AND(ISNUMBER(D21),ISNUMBER(E21),D21&gt;0,E21&gt;=0),1-E21/D21,"")</f>
        <v/>
      </c>
      <c r="G21" s="136">
        <f>'01_Thiet_lap'!$D$21</f>
        <v/>
      </c>
      <c r="H21" s="38">
        <f>IF(COUNT(D21:E21)=0,"Chưa nhập dữ liệu",IF(NOT(ISNUMBER(F21)),"Cần rà soát số liệu",IF(NOT(ISNUMBER(C21)),"Cần cập nhật ngày",IF(OR('01_Thiet_lap'!$D$30="",'01_Thiet_lap'!$D$30="[Chưa thống nhất]"),"Chờ thống nhất chỉ số",IF(I21="","Chờ hồ sơ đối chiếu",IF(F21&gt;=G21,"Đạt mốc tham chiếu","Cần xem xét thêm"))))))</f>
        <v/>
      </c>
      <c r="I21" s="43" t="n"/>
      <c r="J21" s="43" t="inlineStr">
        <is>
          <t>D/E cùng đơn vị chi phí. Mức giảm = 1 − hiện tại/đối chiếu. Cần kèm bằng chứng chất lượng tương đương.</t>
        </is>
      </c>
    </row>
    <row r="22" ht="72" customHeight="1">
      <c r="A22" s="38" t="inlineStr">
        <is>
          <t>KY02</t>
        </is>
      </c>
      <c r="B22" s="38" t="inlineStr">
        <is>
          <t>Chất lượng ổn định khi tăng phân bổ</t>
        </is>
      </c>
      <c r="C22" s="130" t="inlineStr">
        <is>
          <t>[Chưa chốt]</t>
        </is>
      </c>
      <c r="D22" s="133" t="n"/>
      <c r="E22" s="134" t="n"/>
      <c r="F22" s="102">
        <f>IF(E22="","",E22)</f>
        <v/>
      </c>
      <c r="G22" s="102" t="inlineStr">
        <is>
          <t>Đã xác nhận</t>
        </is>
      </c>
      <c r="H22" s="38">
        <f>IF(E22="","Chưa nhập dữ liệu",IF(NOT(ISNUMBER(C22)),"Cần cập nhật ngày",IF(I22="","Chờ hồ sơ đối chiếu",IF(E22="Đã xác nhận","Đạt mốc tham chiếu","Cần xem xét thêm"))))</f>
        <v/>
      </c>
      <c r="I22" s="43" t="n"/>
      <c r="J22" s="43" t="inlineStr">
        <is>
          <t>Ghi bằng chứng chất lượng được duy trì; không chỉ dựa trên số lượng tương tác.</t>
        </is>
      </c>
    </row>
    <row r="23" ht="72" customHeight="1">
      <c r="A23" s="38" t="inlineStr">
        <is>
          <t>KY02</t>
        </is>
      </c>
      <c r="B23" s="38" t="inlineStr">
        <is>
          <t>Mức suy giảm sau mở rộng cấp 1</t>
        </is>
      </c>
      <c r="C23" s="130" t="inlineStr">
        <is>
          <t>[Chưa chốt]</t>
        </is>
      </c>
      <c r="D23" s="135" t="n"/>
      <c r="E23" s="135" t="n"/>
      <c r="F23" s="136">
        <f>IF(AND(ISNUMBER(D23),ISNUMBER(E23),D23&gt;0,E23&gt;=0),MAX(0,1-E23/D23),"")</f>
        <v/>
      </c>
      <c r="G23" s="136">
        <f>'01_Thiet_lap'!$D$22</f>
        <v/>
      </c>
      <c r="H23" s="38">
        <f>IF(COUNT(D23:E23)=0,"Chưa nhập dữ liệu",IF(NOT(ISNUMBER(F23)),"Cần rà soát số liệu",IF(NOT(ISNUMBER(C23)),"Cần cập nhật ngày",IF(OR('01_Thiet_lap'!$D$28="",'01_Thiet_lap'!$D$28="[Chưa thống nhất]"),"Chờ thống nhất chỉ số",IF(I23="","Chờ hồ sơ đối chiếu",IF(F23&lt;=G23,"Đạt mốc tham chiếu","Cần xem xét thêm"))))))</f>
        <v/>
      </c>
      <c r="I23" s="43" t="n"/>
      <c r="J23" s="43" t="inlineStr">
        <is>
          <t>Dùng khi xét cấp 2. D: mốc đối chiếu đã thống nhất; E: kỳ hiện tại. Mức giảm = MAX(0; 1 − hiện tại/đối chiếu).</t>
        </is>
      </c>
    </row>
    <row r="24" ht="72" customHeight="1">
      <c r="A24" s="38" t="inlineStr">
        <is>
          <t>KY02</t>
        </is>
      </c>
      <c r="B24" s="38" t="inlineStr">
        <is>
          <t>Dư địa tiếp cận thêm đúng nhóm mục tiêu</t>
        </is>
      </c>
      <c r="C24" s="130" t="inlineStr">
        <is>
          <t>[Chưa chốt]</t>
        </is>
      </c>
      <c r="D24" s="133" t="n"/>
      <c r="E24" s="134" t="n"/>
      <c r="F24" s="102">
        <f>IF(E24="","",E24)</f>
        <v/>
      </c>
      <c r="G24" s="102" t="inlineStr">
        <is>
          <t>Đã xác nhận</t>
        </is>
      </c>
      <c r="H24" s="38">
        <f>IF(E24="","Chưa nhập dữ liệu",IF(NOT(ISNUMBER(C24)),"Cần cập nhật ngày",IF(I24="","Chờ hồ sơ đối chiếu",IF(E24="Đã xác nhận","Đạt mốc tham chiếu","Cần xem xét thêm"))))</f>
        <v/>
      </c>
      <c r="I24" s="43" t="n"/>
      <c r="J24" s="43" t="inlineStr">
        <is>
          <t>Dùng khi xem xét mở rộng, đặc biệt cấp 2; đối chiếu phạm vi tệp và chất lượng tiếp cận.</t>
        </is>
      </c>
    </row>
    <row r="25" ht="72" customHeight="1">
      <c r="A25" s="38" t="inlineStr">
        <is>
          <t>KY02</t>
        </is>
      </c>
      <c r="B25" s="38" t="inlineStr">
        <is>
          <t>Độ tin cậy của đo lường và trang đích</t>
        </is>
      </c>
      <c r="C25" s="130" t="inlineStr">
        <is>
          <t>[Chưa chốt]</t>
        </is>
      </c>
      <c r="D25" s="133" t="n"/>
      <c r="E25" s="134" t="n"/>
      <c r="F25" s="102">
        <f>IF(E25="","",E25)</f>
        <v/>
      </c>
      <c r="G25" s="102" t="inlineStr">
        <is>
          <t>Đã xác nhận</t>
        </is>
      </c>
      <c r="H25" s="38">
        <f>IF(E25="","Chưa nhập dữ liệu",IF(NOT(ISNUMBER(C25)),"Cần cập nhật ngày",IF(I25="","Chờ hồ sơ đối chiếu",IF(E25="Đã xác nhận","Đạt mốc tham chiếu","Cần xem xét thêm"))))</f>
        <v/>
      </c>
      <c r="I25" s="43" t="n"/>
      <c r="J25" s="43" t="inlineStr">
        <is>
          <t>Đối chiếu nguồn dữ liệu, trang đích, sự kiện và nơi tiếp nhận biểu mẫu.</t>
        </is>
      </c>
    </row>
    <row r="26" ht="72" customHeight="1">
      <c r="A26" s="38" t="inlineStr">
        <is>
          <t>KY02</t>
        </is>
      </c>
      <c r="B26" s="38" t="inlineStr">
        <is>
          <t>Điều kiện tiếp cận lại nhóm đã tương tác</t>
        </is>
      </c>
      <c r="C26" s="130" t="inlineStr">
        <is>
          <t>[Chưa chốt]</t>
        </is>
      </c>
      <c r="D26" s="133" t="n"/>
      <c r="E26" s="134" t="n"/>
      <c r="F26" s="102">
        <f>IF(E26="","",E26)</f>
        <v/>
      </c>
      <c r="G26" s="102" t="inlineStr">
        <is>
          <t>Đã xác nhận / Không áp dụng</t>
        </is>
      </c>
      <c r="H26" s="38">
        <f>IF(E26="","Chưa nhập dữ liệu",IF(E26="Không áp dụng","Không áp dụng",IF(NOT(ISNUMBER(C26)),"Cần cập nhật ngày",IF(I26="","Chờ hồ sơ đối chiếu",IF(E26="Đã xác nhận","Đạt mốc tham chiếu","Cần xem xét thêm")))))</f>
        <v/>
      </c>
      <c r="I26" s="43" t="n"/>
      <c r="J26" s="43" t="inlineStr">
        <is>
          <t>Chỉ áp dụng khi đề xuất tiếp thị lại. Có thể chọn 'Không áp dụng' nếu chưa sử dụng phương án này.</t>
        </is>
      </c>
    </row>
    <row r="27" ht="72" customHeight="1">
      <c r="A27" s="14" t="inlineStr">
        <is>
          <t>KY03</t>
        </is>
      </c>
      <c r="B27" s="14" t="inlineStr">
        <is>
          <t>Đúng nhóm doanh nghiệp và vai trò</t>
        </is>
      </c>
      <c r="C27" s="130" t="inlineStr">
        <is>
          <t>[Chưa chốt]</t>
        </is>
      </c>
      <c r="D27" s="133" t="n"/>
      <c r="E27" s="134" t="n"/>
      <c r="F27" s="102">
        <f>IF(E27="","",E27)</f>
        <v/>
      </c>
      <c r="G27" s="102" t="inlineStr">
        <is>
          <t>Đã xác nhận</t>
        </is>
      </c>
      <c r="H27" s="38">
        <f>IF(E27="","Chưa nhập dữ liệu",IF(NOT(ISNUMBER(C27)),"Cần cập nhật ngày",IF(I27="","Chờ hồ sơ đối chiếu",IF(E27="Đã xác nhận","Đạt mốc tham chiếu","Cần xem xét thêm"))))</f>
        <v/>
      </c>
      <c r="I27" s="43" t="n"/>
      <c r="J27" s="43" t="inlineStr">
        <is>
          <t>Đối chiếu dữ liệu tiếp cận với nhóm doanh nghiệp và vai trò đã thống nhất.</t>
        </is>
      </c>
    </row>
    <row r="28" ht="72" customHeight="1">
      <c r="A28" s="14" t="inlineStr">
        <is>
          <t>KY03</t>
        </is>
      </c>
      <c r="B28" s="14" t="inlineStr">
        <is>
          <t>Lượt nhấp Search liên quan đúng chủ đề</t>
        </is>
      </c>
      <c r="C28" s="130" t="inlineStr">
        <is>
          <t>[Chưa chốt]</t>
        </is>
      </c>
      <c r="D28" s="135" t="n"/>
      <c r="E28" s="135" t="n"/>
      <c r="F28" s="136">
        <f>IF(AND(ISNUMBER(D28),ISNUMBER(E28),D28&gt;0,E28&gt;=0),E28/D28,"")</f>
        <v/>
      </c>
      <c r="G28" s="136">
        <f>'01_Thiet_lap'!$D$18</f>
        <v/>
      </c>
      <c r="H28" s="38">
        <f>IF(COUNT(D28:E28)=0,"Chưa nhập dữ liệu",IF(NOT(ISNUMBER(F28)),"Cần rà soát số liệu",IF(NOT(ISNUMBER(C28)),"Cần cập nhật ngày",IF(E28&gt;D28,"Cần rà soát số liệu",IF(D28&lt;'01_Thiet_lap'!$D$23,"Cần thêm dữ liệu quan sát",IF(I28="","Chờ hồ sơ đối chiếu",IF(F28&gt;=G28,"Đạt mốc tham chiếu","Cần xem xét thêm")))))))</f>
        <v/>
      </c>
      <c r="I28" s="43" t="n"/>
      <c r="J28" s="43" t="inlineStr">
        <is>
          <t>Cột D: tổng nhấp được kiểm tra. Cột E: nhấp đúng chủ đề. Mốc 7/10 là tham chiếu vận hành, không khẳng định độ tin cậy thống kê.</t>
        </is>
      </c>
    </row>
    <row r="29" ht="72" customHeight="1">
      <c r="A29" s="14" t="inlineStr">
        <is>
          <t>KY03</t>
        </is>
      </c>
      <c r="B29" s="14" t="inlineStr">
        <is>
          <t>Duy trì mức quan tâm so với ban đầu</t>
        </is>
      </c>
      <c r="C29" s="130" t="inlineStr">
        <is>
          <t>[Chưa chốt]</t>
        </is>
      </c>
      <c r="D29" s="135" t="n"/>
      <c r="E29" s="135" t="n"/>
      <c r="F29" s="136">
        <f>IF(AND(ISNUMBER(D29),ISNUMBER(E29),D29&gt;0,E29&gt;=0),E29/D29,"")</f>
        <v/>
      </c>
      <c r="G29" s="136">
        <f>'01_Thiet_lap'!$D$19</f>
        <v/>
      </c>
      <c r="H29" s="38">
        <f>IF(COUNT(D29:E29)=0,"Chưa nhập dữ liệu",IF(NOT(ISNUMBER(F29)),"Cần rà soát số liệu",IF(NOT(ISNUMBER(C29)),"Cần cập nhật ngày",IF(OR('01_Thiet_lap'!$D$28="",'01_Thiet_lap'!$D$28="[Chưa thống nhất]"),"Chờ thống nhất chỉ số",IF(I29="","Chờ hồ sơ đối chiếu",IF(F29&gt;=G29,"Đạt mốc tham chiếu","Cần xem xét thêm"))))))</f>
        <v/>
      </c>
      <c r="I29" s="43" t="n"/>
      <c r="J29" s="43" t="inlineStr">
        <is>
          <t>D/E dùng cùng chỉ số quan tâm tại Thiết lập. Kết quả = hiện tại / ban đầu.</t>
        </is>
      </c>
    </row>
    <row r="30" ht="72" customHeight="1">
      <c r="A30" s="14" t="inlineStr">
        <is>
          <t>KY03</t>
        </is>
      </c>
      <c r="B30" s="14" t="inlineStr">
        <is>
          <t>Cải thiện của phương án được ưu tiên</t>
        </is>
      </c>
      <c r="C30" s="130" t="inlineStr">
        <is>
          <t>[Chưa chốt]</t>
        </is>
      </c>
      <c r="D30" s="135" t="n"/>
      <c r="E30" s="135" t="n"/>
      <c r="F30" s="136">
        <f>IF(AND(ISNUMBER(D30),ISNUMBER(E30),D30&gt;0,E30&gt;=0),E30/D30-1,"")</f>
        <v/>
      </c>
      <c r="G30" s="136">
        <f>'01_Thiet_lap'!$D$20</f>
        <v/>
      </c>
      <c r="H30" s="38">
        <f>IF(COUNT(D30:E30)=0,"Chưa nhập dữ liệu",IF(NOT(ISNUMBER(F30)),"Cần rà soát số liệu",IF(NOT(ISNUMBER(C30)),"Cần cập nhật ngày",IF(OR('01_Thiet_lap'!$D$29="",'01_Thiet_lap'!$D$29="[Chưa thống nhất]"),"Chờ thống nhất chỉ số",IF(I30="","Chờ hồ sơ đối chiếu",IF(F30&gt;=G30,"Đạt mốc tham chiếu","Cần xem xét thêm"))))))</f>
        <v/>
      </c>
      <c r="I30" s="43" t="n"/>
      <c r="J30" s="43" t="inlineStr">
        <is>
          <t>D: phương án đối chiếu; E: phương án được ưu tiên. Dùng chỉ số tăng là tốt hơn. Tiêu chí này là một lựa chọn thay thế cho giảm chi phí.</t>
        </is>
      </c>
    </row>
    <row r="31" ht="72" customHeight="1">
      <c r="A31" s="14" t="inlineStr">
        <is>
          <t>KY03</t>
        </is>
      </c>
      <c r="B31" s="14" t="inlineStr">
        <is>
          <t>Giảm chi phí với chất lượng tương đương</t>
        </is>
      </c>
      <c r="C31" s="130" t="inlineStr">
        <is>
          <t>[Chưa chốt]</t>
        </is>
      </c>
      <c r="D31" s="135" t="n"/>
      <c r="E31" s="135" t="n"/>
      <c r="F31" s="136">
        <f>IF(AND(ISNUMBER(D31),ISNUMBER(E31),D31&gt;0,E31&gt;=0),1-E31/D31,"")</f>
        <v/>
      </c>
      <c r="G31" s="136">
        <f>'01_Thiet_lap'!$D$21</f>
        <v/>
      </c>
      <c r="H31" s="38">
        <f>IF(COUNT(D31:E31)=0,"Chưa nhập dữ liệu",IF(NOT(ISNUMBER(F31)),"Cần rà soát số liệu",IF(NOT(ISNUMBER(C31)),"Cần cập nhật ngày",IF(OR('01_Thiet_lap'!$D$30="",'01_Thiet_lap'!$D$30="[Chưa thống nhất]"),"Chờ thống nhất chỉ số",IF(I31="","Chờ hồ sơ đối chiếu",IF(F31&gt;=G31,"Đạt mốc tham chiếu","Cần xem xét thêm"))))))</f>
        <v/>
      </c>
      <c r="I31" s="43" t="n"/>
      <c r="J31" s="43" t="inlineStr">
        <is>
          <t>D/E cùng đơn vị chi phí. Mức giảm = 1 − hiện tại/đối chiếu. Cần kèm bằng chứng chất lượng tương đương.</t>
        </is>
      </c>
    </row>
    <row r="32" ht="72" customHeight="1">
      <c r="A32" s="14" t="inlineStr">
        <is>
          <t>KY03</t>
        </is>
      </c>
      <c r="B32" s="14" t="inlineStr">
        <is>
          <t>Chất lượng ổn định khi tăng phân bổ</t>
        </is>
      </c>
      <c r="C32" s="130" t="inlineStr">
        <is>
          <t>[Chưa chốt]</t>
        </is>
      </c>
      <c r="D32" s="133" t="n"/>
      <c r="E32" s="134" t="n"/>
      <c r="F32" s="102">
        <f>IF(E32="","",E32)</f>
        <v/>
      </c>
      <c r="G32" s="102" t="inlineStr">
        <is>
          <t>Đã xác nhận</t>
        </is>
      </c>
      <c r="H32" s="38">
        <f>IF(E32="","Chưa nhập dữ liệu",IF(NOT(ISNUMBER(C32)),"Cần cập nhật ngày",IF(I32="","Chờ hồ sơ đối chiếu",IF(E32="Đã xác nhận","Đạt mốc tham chiếu","Cần xem xét thêm"))))</f>
        <v/>
      </c>
      <c r="I32" s="43" t="n"/>
      <c r="J32" s="43" t="inlineStr">
        <is>
          <t>Ghi bằng chứng chất lượng được duy trì; không chỉ dựa trên số lượng tương tác.</t>
        </is>
      </c>
    </row>
    <row r="33" ht="72" customHeight="1">
      <c r="A33" s="14" t="inlineStr">
        <is>
          <t>KY03</t>
        </is>
      </c>
      <c r="B33" s="14" t="inlineStr">
        <is>
          <t>Mức suy giảm sau mở rộng cấp 1</t>
        </is>
      </c>
      <c r="C33" s="130" t="inlineStr">
        <is>
          <t>[Chưa chốt]</t>
        </is>
      </c>
      <c r="D33" s="135" t="n"/>
      <c r="E33" s="135" t="n"/>
      <c r="F33" s="136">
        <f>IF(AND(ISNUMBER(D33),ISNUMBER(E33),D33&gt;0,E33&gt;=0),MAX(0,1-E33/D33),"")</f>
        <v/>
      </c>
      <c r="G33" s="136">
        <f>'01_Thiet_lap'!$D$22</f>
        <v/>
      </c>
      <c r="H33" s="38">
        <f>IF(COUNT(D33:E33)=0,"Chưa nhập dữ liệu",IF(NOT(ISNUMBER(F33)),"Cần rà soát số liệu",IF(NOT(ISNUMBER(C33)),"Cần cập nhật ngày",IF(OR('01_Thiet_lap'!$D$28="",'01_Thiet_lap'!$D$28="[Chưa thống nhất]"),"Chờ thống nhất chỉ số",IF(I33="","Chờ hồ sơ đối chiếu",IF(F33&lt;=G33,"Đạt mốc tham chiếu","Cần xem xét thêm"))))))</f>
        <v/>
      </c>
      <c r="I33" s="43" t="n"/>
      <c r="J33" s="43" t="inlineStr">
        <is>
          <t>Dùng khi xét cấp 2. D: mốc đối chiếu đã thống nhất; E: kỳ hiện tại. Mức giảm = MAX(0; 1 − hiện tại/đối chiếu).</t>
        </is>
      </c>
    </row>
    <row r="34" ht="72" customHeight="1">
      <c r="A34" s="14" t="inlineStr">
        <is>
          <t>KY03</t>
        </is>
      </c>
      <c r="B34" s="14" t="inlineStr">
        <is>
          <t>Dư địa tiếp cận thêm đúng nhóm mục tiêu</t>
        </is>
      </c>
      <c r="C34" s="130" t="inlineStr">
        <is>
          <t>[Chưa chốt]</t>
        </is>
      </c>
      <c r="D34" s="133" t="n"/>
      <c r="E34" s="134" t="n"/>
      <c r="F34" s="102">
        <f>IF(E34="","",E34)</f>
        <v/>
      </c>
      <c r="G34" s="102" t="inlineStr">
        <is>
          <t>Đã xác nhận</t>
        </is>
      </c>
      <c r="H34" s="38">
        <f>IF(E34="","Chưa nhập dữ liệu",IF(NOT(ISNUMBER(C34)),"Cần cập nhật ngày",IF(I34="","Chờ hồ sơ đối chiếu",IF(E34="Đã xác nhận","Đạt mốc tham chiếu","Cần xem xét thêm"))))</f>
        <v/>
      </c>
      <c r="I34" s="43" t="n"/>
      <c r="J34" s="43" t="inlineStr">
        <is>
          <t>Dùng khi xem xét mở rộng, đặc biệt cấp 2; đối chiếu phạm vi tệp và chất lượng tiếp cận.</t>
        </is>
      </c>
    </row>
    <row r="35" ht="72" customHeight="1">
      <c r="A35" s="14" t="inlineStr">
        <is>
          <t>KY03</t>
        </is>
      </c>
      <c r="B35" s="14" t="inlineStr">
        <is>
          <t>Độ tin cậy của đo lường và trang đích</t>
        </is>
      </c>
      <c r="C35" s="130" t="inlineStr">
        <is>
          <t>[Chưa chốt]</t>
        </is>
      </c>
      <c r="D35" s="133" t="n"/>
      <c r="E35" s="134" t="n"/>
      <c r="F35" s="102">
        <f>IF(E35="","",E35)</f>
        <v/>
      </c>
      <c r="G35" s="102" t="inlineStr">
        <is>
          <t>Đã xác nhận</t>
        </is>
      </c>
      <c r="H35" s="38">
        <f>IF(E35="","Chưa nhập dữ liệu",IF(NOT(ISNUMBER(C35)),"Cần cập nhật ngày",IF(I35="","Chờ hồ sơ đối chiếu",IF(E35="Đã xác nhận","Đạt mốc tham chiếu","Cần xem xét thêm"))))</f>
        <v/>
      </c>
      <c r="I35" s="43" t="n"/>
      <c r="J35" s="43" t="inlineStr">
        <is>
          <t>Đối chiếu nguồn dữ liệu, trang đích, sự kiện và nơi tiếp nhận biểu mẫu.</t>
        </is>
      </c>
    </row>
    <row r="36" ht="72" customHeight="1">
      <c r="A36" s="14" t="inlineStr">
        <is>
          <t>KY03</t>
        </is>
      </c>
      <c r="B36" s="14" t="inlineStr">
        <is>
          <t>Điều kiện tiếp cận lại nhóm đã tương tác</t>
        </is>
      </c>
      <c r="C36" s="130" t="inlineStr">
        <is>
          <t>[Chưa chốt]</t>
        </is>
      </c>
      <c r="D36" s="133" t="n"/>
      <c r="E36" s="134" t="n"/>
      <c r="F36" s="102">
        <f>IF(E36="","",E36)</f>
        <v/>
      </c>
      <c r="G36" s="102" t="inlineStr">
        <is>
          <t>Đã xác nhận / Không áp dụng</t>
        </is>
      </c>
      <c r="H36" s="38">
        <f>IF(E36="","Chưa nhập dữ liệu",IF(E36="Không áp dụng","Không áp dụng",IF(NOT(ISNUMBER(C36)),"Cần cập nhật ngày",IF(I36="","Chờ hồ sơ đối chiếu",IF(E36="Đã xác nhận","Đạt mốc tham chiếu","Cần xem xét thêm")))))</f>
        <v/>
      </c>
      <c r="I36" s="43" t="n"/>
      <c r="J36" s="43" t="inlineStr">
        <is>
          <t>Chỉ áp dụng khi đề xuất tiếp thị lại. Có thể chọn 'Không áp dụng' nếu chưa sử dụng phương án này.</t>
        </is>
      </c>
    </row>
    <row r="37" ht="72" customHeight="1">
      <c r="A37" s="38" t="inlineStr">
        <is>
          <t>KY04</t>
        </is>
      </c>
      <c r="B37" s="38" t="inlineStr">
        <is>
          <t>Đúng nhóm doanh nghiệp và vai trò</t>
        </is>
      </c>
      <c r="C37" s="130" t="inlineStr">
        <is>
          <t>[Chưa chốt]</t>
        </is>
      </c>
      <c r="D37" s="133" t="n"/>
      <c r="E37" s="134" t="n"/>
      <c r="F37" s="102">
        <f>IF(E37="","",E37)</f>
        <v/>
      </c>
      <c r="G37" s="102" t="inlineStr">
        <is>
          <t>Đã xác nhận</t>
        </is>
      </c>
      <c r="H37" s="38">
        <f>IF(E37="","Chưa nhập dữ liệu",IF(NOT(ISNUMBER(C37)),"Cần cập nhật ngày",IF(I37="","Chờ hồ sơ đối chiếu",IF(E37="Đã xác nhận","Đạt mốc tham chiếu","Cần xem xét thêm"))))</f>
        <v/>
      </c>
      <c r="I37" s="43" t="n"/>
      <c r="J37" s="43" t="inlineStr">
        <is>
          <t>Đối chiếu dữ liệu tiếp cận với nhóm doanh nghiệp và vai trò đã thống nhất.</t>
        </is>
      </c>
    </row>
    <row r="38" ht="72" customHeight="1">
      <c r="A38" s="38" t="inlineStr">
        <is>
          <t>KY04</t>
        </is>
      </c>
      <c r="B38" s="38" t="inlineStr">
        <is>
          <t>Lượt nhấp Search liên quan đúng chủ đề</t>
        </is>
      </c>
      <c r="C38" s="130" t="inlineStr">
        <is>
          <t>[Chưa chốt]</t>
        </is>
      </c>
      <c r="D38" s="135" t="n"/>
      <c r="E38" s="135" t="n"/>
      <c r="F38" s="136">
        <f>IF(AND(ISNUMBER(D38),ISNUMBER(E38),D38&gt;0,E38&gt;=0),E38/D38,"")</f>
        <v/>
      </c>
      <c r="G38" s="136">
        <f>'01_Thiet_lap'!$D$18</f>
        <v/>
      </c>
      <c r="H38" s="38">
        <f>IF(COUNT(D38:E38)=0,"Chưa nhập dữ liệu",IF(NOT(ISNUMBER(F38)),"Cần rà soát số liệu",IF(NOT(ISNUMBER(C38)),"Cần cập nhật ngày",IF(E38&gt;D38,"Cần rà soát số liệu",IF(D38&lt;'01_Thiet_lap'!$D$23,"Cần thêm dữ liệu quan sát",IF(I38="","Chờ hồ sơ đối chiếu",IF(F38&gt;=G38,"Đạt mốc tham chiếu","Cần xem xét thêm")))))))</f>
        <v/>
      </c>
      <c r="I38" s="43" t="n"/>
      <c r="J38" s="43" t="inlineStr">
        <is>
          <t>Cột D: tổng nhấp được kiểm tra. Cột E: nhấp đúng chủ đề. Mốc 7/10 là tham chiếu vận hành, không khẳng định độ tin cậy thống kê.</t>
        </is>
      </c>
    </row>
    <row r="39" ht="72" customHeight="1">
      <c r="A39" s="38" t="inlineStr">
        <is>
          <t>KY04</t>
        </is>
      </c>
      <c r="B39" s="38" t="inlineStr">
        <is>
          <t>Duy trì mức quan tâm so với ban đầu</t>
        </is>
      </c>
      <c r="C39" s="130" t="inlineStr">
        <is>
          <t>[Chưa chốt]</t>
        </is>
      </c>
      <c r="D39" s="135" t="n"/>
      <c r="E39" s="135" t="n"/>
      <c r="F39" s="136">
        <f>IF(AND(ISNUMBER(D39),ISNUMBER(E39),D39&gt;0,E39&gt;=0),E39/D39,"")</f>
        <v/>
      </c>
      <c r="G39" s="136">
        <f>'01_Thiet_lap'!$D$19</f>
        <v/>
      </c>
      <c r="H39" s="38">
        <f>IF(COUNT(D39:E39)=0,"Chưa nhập dữ liệu",IF(NOT(ISNUMBER(F39)),"Cần rà soát số liệu",IF(NOT(ISNUMBER(C39)),"Cần cập nhật ngày",IF(OR('01_Thiet_lap'!$D$28="",'01_Thiet_lap'!$D$28="[Chưa thống nhất]"),"Chờ thống nhất chỉ số",IF(I39="","Chờ hồ sơ đối chiếu",IF(F39&gt;=G39,"Đạt mốc tham chiếu","Cần xem xét thêm"))))))</f>
        <v/>
      </c>
      <c r="I39" s="43" t="n"/>
      <c r="J39" s="43" t="inlineStr">
        <is>
          <t>D/E dùng cùng chỉ số quan tâm tại Thiết lập. Kết quả = hiện tại / ban đầu.</t>
        </is>
      </c>
    </row>
    <row r="40" ht="72" customHeight="1">
      <c r="A40" s="38" t="inlineStr">
        <is>
          <t>KY04</t>
        </is>
      </c>
      <c r="B40" s="38" t="inlineStr">
        <is>
          <t>Cải thiện của phương án được ưu tiên</t>
        </is>
      </c>
      <c r="C40" s="130" t="inlineStr">
        <is>
          <t>[Chưa chốt]</t>
        </is>
      </c>
      <c r="D40" s="135" t="n"/>
      <c r="E40" s="135" t="n"/>
      <c r="F40" s="136">
        <f>IF(AND(ISNUMBER(D40),ISNUMBER(E40),D40&gt;0,E40&gt;=0),E40/D40-1,"")</f>
        <v/>
      </c>
      <c r="G40" s="136">
        <f>'01_Thiet_lap'!$D$20</f>
        <v/>
      </c>
      <c r="H40" s="38">
        <f>IF(COUNT(D40:E40)=0,"Chưa nhập dữ liệu",IF(NOT(ISNUMBER(F40)),"Cần rà soát số liệu",IF(NOT(ISNUMBER(C40)),"Cần cập nhật ngày",IF(OR('01_Thiet_lap'!$D$29="",'01_Thiet_lap'!$D$29="[Chưa thống nhất]"),"Chờ thống nhất chỉ số",IF(I40="","Chờ hồ sơ đối chiếu",IF(F40&gt;=G40,"Đạt mốc tham chiếu","Cần xem xét thêm"))))))</f>
        <v/>
      </c>
      <c r="I40" s="43" t="n"/>
      <c r="J40" s="43" t="inlineStr">
        <is>
          <t>D: phương án đối chiếu; E: phương án được ưu tiên. Dùng chỉ số tăng là tốt hơn. Tiêu chí này là một lựa chọn thay thế cho giảm chi phí.</t>
        </is>
      </c>
    </row>
    <row r="41" ht="72" customHeight="1">
      <c r="A41" s="38" t="inlineStr">
        <is>
          <t>KY04</t>
        </is>
      </c>
      <c r="B41" s="38" t="inlineStr">
        <is>
          <t>Giảm chi phí với chất lượng tương đương</t>
        </is>
      </c>
      <c r="C41" s="130" t="inlineStr">
        <is>
          <t>[Chưa chốt]</t>
        </is>
      </c>
      <c r="D41" s="135" t="n"/>
      <c r="E41" s="135" t="n"/>
      <c r="F41" s="136">
        <f>IF(AND(ISNUMBER(D41),ISNUMBER(E41),D41&gt;0,E41&gt;=0),1-E41/D41,"")</f>
        <v/>
      </c>
      <c r="G41" s="136">
        <f>'01_Thiet_lap'!$D$21</f>
        <v/>
      </c>
      <c r="H41" s="38">
        <f>IF(COUNT(D41:E41)=0,"Chưa nhập dữ liệu",IF(NOT(ISNUMBER(F41)),"Cần rà soát số liệu",IF(NOT(ISNUMBER(C41)),"Cần cập nhật ngày",IF(OR('01_Thiet_lap'!$D$30="",'01_Thiet_lap'!$D$30="[Chưa thống nhất]"),"Chờ thống nhất chỉ số",IF(I41="","Chờ hồ sơ đối chiếu",IF(F41&gt;=G41,"Đạt mốc tham chiếu","Cần xem xét thêm"))))))</f>
        <v/>
      </c>
      <c r="I41" s="43" t="n"/>
      <c r="J41" s="43" t="inlineStr">
        <is>
          <t>D/E cùng đơn vị chi phí. Mức giảm = 1 − hiện tại/đối chiếu. Cần kèm bằng chứng chất lượng tương đương.</t>
        </is>
      </c>
    </row>
    <row r="42" ht="72" customHeight="1">
      <c r="A42" s="38" t="inlineStr">
        <is>
          <t>KY04</t>
        </is>
      </c>
      <c r="B42" s="38" t="inlineStr">
        <is>
          <t>Chất lượng ổn định khi tăng phân bổ</t>
        </is>
      </c>
      <c r="C42" s="130" t="inlineStr">
        <is>
          <t>[Chưa chốt]</t>
        </is>
      </c>
      <c r="D42" s="133" t="n"/>
      <c r="E42" s="134" t="n"/>
      <c r="F42" s="102">
        <f>IF(E42="","",E42)</f>
        <v/>
      </c>
      <c r="G42" s="102" t="inlineStr">
        <is>
          <t>Đã xác nhận</t>
        </is>
      </c>
      <c r="H42" s="38">
        <f>IF(E42="","Chưa nhập dữ liệu",IF(NOT(ISNUMBER(C42)),"Cần cập nhật ngày",IF(I42="","Chờ hồ sơ đối chiếu",IF(E42="Đã xác nhận","Đạt mốc tham chiếu","Cần xem xét thêm"))))</f>
        <v/>
      </c>
      <c r="I42" s="43" t="n"/>
      <c r="J42" s="43" t="inlineStr">
        <is>
          <t>Ghi bằng chứng chất lượng được duy trì; không chỉ dựa trên số lượng tương tác.</t>
        </is>
      </c>
    </row>
    <row r="43" ht="72" customHeight="1">
      <c r="A43" s="38" t="inlineStr">
        <is>
          <t>KY04</t>
        </is>
      </c>
      <c r="B43" s="38" t="inlineStr">
        <is>
          <t>Mức suy giảm sau mở rộng cấp 1</t>
        </is>
      </c>
      <c r="C43" s="130" t="inlineStr">
        <is>
          <t>[Chưa chốt]</t>
        </is>
      </c>
      <c r="D43" s="135" t="n"/>
      <c r="E43" s="135" t="n"/>
      <c r="F43" s="136">
        <f>IF(AND(ISNUMBER(D43),ISNUMBER(E43),D43&gt;0,E43&gt;=0),MAX(0,1-E43/D43),"")</f>
        <v/>
      </c>
      <c r="G43" s="136">
        <f>'01_Thiet_lap'!$D$22</f>
        <v/>
      </c>
      <c r="H43" s="38">
        <f>IF(COUNT(D43:E43)=0,"Chưa nhập dữ liệu",IF(NOT(ISNUMBER(F43)),"Cần rà soát số liệu",IF(NOT(ISNUMBER(C43)),"Cần cập nhật ngày",IF(OR('01_Thiet_lap'!$D$28="",'01_Thiet_lap'!$D$28="[Chưa thống nhất]"),"Chờ thống nhất chỉ số",IF(I43="","Chờ hồ sơ đối chiếu",IF(F43&lt;=G43,"Đạt mốc tham chiếu","Cần xem xét thêm"))))))</f>
        <v/>
      </c>
      <c r="I43" s="43" t="n"/>
      <c r="J43" s="43" t="inlineStr">
        <is>
          <t>Dùng khi xét cấp 2. D: mốc đối chiếu đã thống nhất; E: kỳ hiện tại. Mức giảm = MAX(0; 1 − hiện tại/đối chiếu).</t>
        </is>
      </c>
    </row>
    <row r="44" ht="72" customHeight="1">
      <c r="A44" s="38" t="inlineStr">
        <is>
          <t>KY04</t>
        </is>
      </c>
      <c r="B44" s="38" t="inlineStr">
        <is>
          <t>Dư địa tiếp cận thêm đúng nhóm mục tiêu</t>
        </is>
      </c>
      <c r="C44" s="130" t="inlineStr">
        <is>
          <t>[Chưa chốt]</t>
        </is>
      </c>
      <c r="D44" s="133" t="n"/>
      <c r="E44" s="134" t="n"/>
      <c r="F44" s="102">
        <f>IF(E44="","",E44)</f>
        <v/>
      </c>
      <c r="G44" s="102" t="inlineStr">
        <is>
          <t>Đã xác nhận</t>
        </is>
      </c>
      <c r="H44" s="38">
        <f>IF(E44="","Chưa nhập dữ liệu",IF(NOT(ISNUMBER(C44)),"Cần cập nhật ngày",IF(I44="","Chờ hồ sơ đối chiếu",IF(E44="Đã xác nhận","Đạt mốc tham chiếu","Cần xem xét thêm"))))</f>
        <v/>
      </c>
      <c r="I44" s="43" t="n"/>
      <c r="J44" s="43" t="inlineStr">
        <is>
          <t>Dùng khi xem xét mở rộng, đặc biệt cấp 2; đối chiếu phạm vi tệp và chất lượng tiếp cận.</t>
        </is>
      </c>
    </row>
    <row r="45" ht="72" customHeight="1">
      <c r="A45" s="38" t="inlineStr">
        <is>
          <t>KY04</t>
        </is>
      </c>
      <c r="B45" s="38" t="inlineStr">
        <is>
          <t>Độ tin cậy của đo lường và trang đích</t>
        </is>
      </c>
      <c r="C45" s="130" t="inlineStr">
        <is>
          <t>[Chưa chốt]</t>
        </is>
      </c>
      <c r="D45" s="133" t="n"/>
      <c r="E45" s="134" t="n"/>
      <c r="F45" s="102">
        <f>IF(E45="","",E45)</f>
        <v/>
      </c>
      <c r="G45" s="102" t="inlineStr">
        <is>
          <t>Đã xác nhận</t>
        </is>
      </c>
      <c r="H45" s="38">
        <f>IF(E45="","Chưa nhập dữ liệu",IF(NOT(ISNUMBER(C45)),"Cần cập nhật ngày",IF(I45="","Chờ hồ sơ đối chiếu",IF(E45="Đã xác nhận","Đạt mốc tham chiếu","Cần xem xét thêm"))))</f>
        <v/>
      </c>
      <c r="I45" s="43" t="n"/>
      <c r="J45" s="43" t="inlineStr">
        <is>
          <t>Đối chiếu nguồn dữ liệu, trang đích, sự kiện và nơi tiếp nhận biểu mẫu.</t>
        </is>
      </c>
    </row>
    <row r="46" ht="72" customHeight="1">
      <c r="A46" s="38" t="inlineStr">
        <is>
          <t>KY04</t>
        </is>
      </c>
      <c r="B46" s="38" t="inlineStr">
        <is>
          <t>Điều kiện tiếp cận lại nhóm đã tương tác</t>
        </is>
      </c>
      <c r="C46" s="130" t="inlineStr">
        <is>
          <t>[Chưa chốt]</t>
        </is>
      </c>
      <c r="D46" s="133" t="n"/>
      <c r="E46" s="134" t="n"/>
      <c r="F46" s="102">
        <f>IF(E46="","",E46)</f>
        <v/>
      </c>
      <c r="G46" s="102" t="inlineStr">
        <is>
          <t>Đã xác nhận / Không áp dụng</t>
        </is>
      </c>
      <c r="H46" s="38">
        <f>IF(E46="","Chưa nhập dữ liệu",IF(E46="Không áp dụng","Không áp dụng",IF(NOT(ISNUMBER(C46)),"Cần cập nhật ngày",IF(I46="","Chờ hồ sơ đối chiếu",IF(E46="Đã xác nhận","Đạt mốc tham chiếu","Cần xem xét thêm")))))</f>
        <v/>
      </c>
      <c r="I46" s="43" t="n"/>
      <c r="J46" s="43" t="inlineStr">
        <is>
          <t>Chỉ áp dụng khi đề xuất tiếp thị lại. Có thể chọn 'Không áp dụng' nếu chưa sử dụng phương án này.</t>
        </is>
      </c>
    </row>
    <row r="47" ht="72" customHeight="1">
      <c r="A47" s="14" t="inlineStr">
        <is>
          <t>KY05</t>
        </is>
      </c>
      <c r="B47" s="14" t="inlineStr">
        <is>
          <t>Đúng nhóm doanh nghiệp và vai trò</t>
        </is>
      </c>
      <c r="C47" s="130" t="inlineStr">
        <is>
          <t>[Chưa chốt]</t>
        </is>
      </c>
      <c r="D47" s="133" t="n"/>
      <c r="E47" s="134" t="n"/>
      <c r="F47" s="102">
        <f>IF(E47="","",E47)</f>
        <v/>
      </c>
      <c r="G47" s="102" t="inlineStr">
        <is>
          <t>Đã xác nhận</t>
        </is>
      </c>
      <c r="H47" s="38">
        <f>IF(E47="","Chưa nhập dữ liệu",IF(NOT(ISNUMBER(C47)),"Cần cập nhật ngày",IF(I47="","Chờ hồ sơ đối chiếu",IF(E47="Đã xác nhận","Đạt mốc tham chiếu","Cần xem xét thêm"))))</f>
        <v/>
      </c>
      <c r="I47" s="43" t="n"/>
      <c r="J47" s="43" t="inlineStr">
        <is>
          <t>Đối chiếu dữ liệu tiếp cận với nhóm doanh nghiệp và vai trò đã thống nhất.</t>
        </is>
      </c>
    </row>
    <row r="48" ht="72" customHeight="1">
      <c r="A48" s="14" t="inlineStr">
        <is>
          <t>KY05</t>
        </is>
      </c>
      <c r="B48" s="14" t="inlineStr">
        <is>
          <t>Lượt nhấp Search liên quan đúng chủ đề</t>
        </is>
      </c>
      <c r="C48" s="130" t="inlineStr">
        <is>
          <t>[Chưa chốt]</t>
        </is>
      </c>
      <c r="D48" s="135" t="n"/>
      <c r="E48" s="135" t="n"/>
      <c r="F48" s="136">
        <f>IF(AND(ISNUMBER(D48),ISNUMBER(E48),D48&gt;0,E48&gt;=0),E48/D48,"")</f>
        <v/>
      </c>
      <c r="G48" s="136">
        <f>'01_Thiet_lap'!$D$18</f>
        <v/>
      </c>
      <c r="H48" s="38">
        <f>IF(COUNT(D48:E48)=0,"Chưa nhập dữ liệu",IF(NOT(ISNUMBER(F48)),"Cần rà soát số liệu",IF(NOT(ISNUMBER(C48)),"Cần cập nhật ngày",IF(E48&gt;D48,"Cần rà soát số liệu",IF(D48&lt;'01_Thiet_lap'!$D$23,"Cần thêm dữ liệu quan sát",IF(I48="","Chờ hồ sơ đối chiếu",IF(F48&gt;=G48,"Đạt mốc tham chiếu","Cần xem xét thêm")))))))</f>
        <v/>
      </c>
      <c r="I48" s="43" t="n"/>
      <c r="J48" s="43" t="inlineStr">
        <is>
          <t>Cột D: tổng nhấp được kiểm tra. Cột E: nhấp đúng chủ đề. Mốc 7/10 là tham chiếu vận hành, không khẳng định độ tin cậy thống kê.</t>
        </is>
      </c>
    </row>
    <row r="49" ht="72" customHeight="1">
      <c r="A49" s="14" t="inlineStr">
        <is>
          <t>KY05</t>
        </is>
      </c>
      <c r="B49" s="14" t="inlineStr">
        <is>
          <t>Duy trì mức quan tâm so với ban đầu</t>
        </is>
      </c>
      <c r="C49" s="130" t="inlineStr">
        <is>
          <t>[Chưa chốt]</t>
        </is>
      </c>
      <c r="D49" s="135" t="n"/>
      <c r="E49" s="135" t="n"/>
      <c r="F49" s="136">
        <f>IF(AND(ISNUMBER(D49),ISNUMBER(E49),D49&gt;0,E49&gt;=0),E49/D49,"")</f>
        <v/>
      </c>
      <c r="G49" s="136">
        <f>'01_Thiet_lap'!$D$19</f>
        <v/>
      </c>
      <c r="H49" s="38">
        <f>IF(COUNT(D49:E49)=0,"Chưa nhập dữ liệu",IF(NOT(ISNUMBER(F49)),"Cần rà soát số liệu",IF(NOT(ISNUMBER(C49)),"Cần cập nhật ngày",IF(OR('01_Thiet_lap'!$D$28="",'01_Thiet_lap'!$D$28="[Chưa thống nhất]"),"Chờ thống nhất chỉ số",IF(I49="","Chờ hồ sơ đối chiếu",IF(F49&gt;=G49,"Đạt mốc tham chiếu","Cần xem xét thêm"))))))</f>
        <v/>
      </c>
      <c r="I49" s="43" t="n"/>
      <c r="J49" s="43" t="inlineStr">
        <is>
          <t>D/E dùng cùng chỉ số quan tâm tại Thiết lập. Kết quả = hiện tại / ban đầu.</t>
        </is>
      </c>
    </row>
    <row r="50" ht="72" customHeight="1">
      <c r="A50" s="14" t="inlineStr">
        <is>
          <t>KY05</t>
        </is>
      </c>
      <c r="B50" s="14" t="inlineStr">
        <is>
          <t>Cải thiện của phương án được ưu tiên</t>
        </is>
      </c>
      <c r="C50" s="130" t="inlineStr">
        <is>
          <t>[Chưa chốt]</t>
        </is>
      </c>
      <c r="D50" s="135" t="n"/>
      <c r="E50" s="135" t="n"/>
      <c r="F50" s="136">
        <f>IF(AND(ISNUMBER(D50),ISNUMBER(E50),D50&gt;0,E50&gt;=0),E50/D50-1,"")</f>
        <v/>
      </c>
      <c r="G50" s="136">
        <f>'01_Thiet_lap'!$D$20</f>
        <v/>
      </c>
      <c r="H50" s="38">
        <f>IF(COUNT(D50:E50)=0,"Chưa nhập dữ liệu",IF(NOT(ISNUMBER(F50)),"Cần rà soát số liệu",IF(NOT(ISNUMBER(C50)),"Cần cập nhật ngày",IF(OR('01_Thiet_lap'!$D$29="",'01_Thiet_lap'!$D$29="[Chưa thống nhất]"),"Chờ thống nhất chỉ số",IF(I50="","Chờ hồ sơ đối chiếu",IF(F50&gt;=G50,"Đạt mốc tham chiếu","Cần xem xét thêm"))))))</f>
        <v/>
      </c>
      <c r="I50" s="43" t="n"/>
      <c r="J50" s="43" t="inlineStr">
        <is>
          <t>D: phương án đối chiếu; E: phương án được ưu tiên. Dùng chỉ số tăng là tốt hơn. Tiêu chí này là một lựa chọn thay thế cho giảm chi phí.</t>
        </is>
      </c>
    </row>
    <row r="51" ht="72" customHeight="1">
      <c r="A51" s="14" t="inlineStr">
        <is>
          <t>KY05</t>
        </is>
      </c>
      <c r="B51" s="14" t="inlineStr">
        <is>
          <t>Giảm chi phí với chất lượng tương đương</t>
        </is>
      </c>
      <c r="C51" s="130" t="inlineStr">
        <is>
          <t>[Chưa chốt]</t>
        </is>
      </c>
      <c r="D51" s="135" t="n"/>
      <c r="E51" s="135" t="n"/>
      <c r="F51" s="136">
        <f>IF(AND(ISNUMBER(D51),ISNUMBER(E51),D51&gt;0,E51&gt;=0),1-E51/D51,"")</f>
        <v/>
      </c>
      <c r="G51" s="136">
        <f>'01_Thiet_lap'!$D$21</f>
        <v/>
      </c>
      <c r="H51" s="38">
        <f>IF(COUNT(D51:E51)=0,"Chưa nhập dữ liệu",IF(NOT(ISNUMBER(F51)),"Cần rà soát số liệu",IF(NOT(ISNUMBER(C51)),"Cần cập nhật ngày",IF(OR('01_Thiet_lap'!$D$30="",'01_Thiet_lap'!$D$30="[Chưa thống nhất]"),"Chờ thống nhất chỉ số",IF(I51="","Chờ hồ sơ đối chiếu",IF(F51&gt;=G51,"Đạt mốc tham chiếu","Cần xem xét thêm"))))))</f>
        <v/>
      </c>
      <c r="I51" s="43" t="n"/>
      <c r="J51" s="43" t="inlineStr">
        <is>
          <t>D/E cùng đơn vị chi phí. Mức giảm = 1 − hiện tại/đối chiếu. Cần kèm bằng chứng chất lượng tương đương.</t>
        </is>
      </c>
    </row>
    <row r="52" ht="72" customHeight="1">
      <c r="A52" s="14" t="inlineStr">
        <is>
          <t>KY05</t>
        </is>
      </c>
      <c r="B52" s="14" t="inlineStr">
        <is>
          <t>Chất lượng ổn định khi tăng phân bổ</t>
        </is>
      </c>
      <c r="C52" s="130" t="inlineStr">
        <is>
          <t>[Chưa chốt]</t>
        </is>
      </c>
      <c r="D52" s="133" t="n"/>
      <c r="E52" s="134" t="n"/>
      <c r="F52" s="102">
        <f>IF(E52="","",E52)</f>
        <v/>
      </c>
      <c r="G52" s="102" t="inlineStr">
        <is>
          <t>Đã xác nhận</t>
        </is>
      </c>
      <c r="H52" s="38">
        <f>IF(E52="","Chưa nhập dữ liệu",IF(NOT(ISNUMBER(C52)),"Cần cập nhật ngày",IF(I52="","Chờ hồ sơ đối chiếu",IF(E52="Đã xác nhận","Đạt mốc tham chiếu","Cần xem xét thêm"))))</f>
        <v/>
      </c>
      <c r="I52" s="43" t="n"/>
      <c r="J52" s="43" t="inlineStr">
        <is>
          <t>Ghi bằng chứng chất lượng được duy trì; không chỉ dựa trên số lượng tương tác.</t>
        </is>
      </c>
    </row>
    <row r="53" ht="72" customHeight="1">
      <c r="A53" s="14" t="inlineStr">
        <is>
          <t>KY05</t>
        </is>
      </c>
      <c r="B53" s="14" t="inlineStr">
        <is>
          <t>Mức suy giảm sau mở rộng cấp 1</t>
        </is>
      </c>
      <c r="C53" s="130" t="inlineStr">
        <is>
          <t>[Chưa chốt]</t>
        </is>
      </c>
      <c r="D53" s="135" t="n"/>
      <c r="E53" s="135" t="n"/>
      <c r="F53" s="136">
        <f>IF(AND(ISNUMBER(D53),ISNUMBER(E53),D53&gt;0,E53&gt;=0),MAX(0,1-E53/D53),"")</f>
        <v/>
      </c>
      <c r="G53" s="136">
        <f>'01_Thiet_lap'!$D$22</f>
        <v/>
      </c>
      <c r="H53" s="38">
        <f>IF(COUNT(D53:E53)=0,"Chưa nhập dữ liệu",IF(NOT(ISNUMBER(F53)),"Cần rà soát số liệu",IF(NOT(ISNUMBER(C53)),"Cần cập nhật ngày",IF(OR('01_Thiet_lap'!$D$28="",'01_Thiet_lap'!$D$28="[Chưa thống nhất]"),"Chờ thống nhất chỉ số",IF(I53="","Chờ hồ sơ đối chiếu",IF(F53&lt;=G53,"Đạt mốc tham chiếu","Cần xem xét thêm"))))))</f>
        <v/>
      </c>
      <c r="I53" s="43" t="n"/>
      <c r="J53" s="43" t="inlineStr">
        <is>
          <t>Dùng khi xét cấp 2. D: mốc đối chiếu đã thống nhất; E: kỳ hiện tại. Mức giảm = MAX(0; 1 − hiện tại/đối chiếu).</t>
        </is>
      </c>
    </row>
    <row r="54" ht="72" customHeight="1">
      <c r="A54" s="14" t="inlineStr">
        <is>
          <t>KY05</t>
        </is>
      </c>
      <c r="B54" s="14" t="inlineStr">
        <is>
          <t>Dư địa tiếp cận thêm đúng nhóm mục tiêu</t>
        </is>
      </c>
      <c r="C54" s="130" t="inlineStr">
        <is>
          <t>[Chưa chốt]</t>
        </is>
      </c>
      <c r="D54" s="133" t="n"/>
      <c r="E54" s="134" t="n"/>
      <c r="F54" s="102">
        <f>IF(E54="","",E54)</f>
        <v/>
      </c>
      <c r="G54" s="102" t="inlineStr">
        <is>
          <t>Đã xác nhận</t>
        </is>
      </c>
      <c r="H54" s="38">
        <f>IF(E54="","Chưa nhập dữ liệu",IF(NOT(ISNUMBER(C54)),"Cần cập nhật ngày",IF(I54="","Chờ hồ sơ đối chiếu",IF(E54="Đã xác nhận","Đạt mốc tham chiếu","Cần xem xét thêm"))))</f>
        <v/>
      </c>
      <c r="I54" s="43" t="n"/>
      <c r="J54" s="43" t="inlineStr">
        <is>
          <t>Dùng khi xem xét mở rộng, đặc biệt cấp 2; đối chiếu phạm vi tệp và chất lượng tiếp cận.</t>
        </is>
      </c>
    </row>
    <row r="55" ht="72" customHeight="1">
      <c r="A55" s="14" t="inlineStr">
        <is>
          <t>KY05</t>
        </is>
      </c>
      <c r="B55" s="14" t="inlineStr">
        <is>
          <t>Độ tin cậy của đo lường và trang đích</t>
        </is>
      </c>
      <c r="C55" s="130" t="inlineStr">
        <is>
          <t>[Chưa chốt]</t>
        </is>
      </c>
      <c r="D55" s="133" t="n"/>
      <c r="E55" s="134" t="n"/>
      <c r="F55" s="102">
        <f>IF(E55="","",E55)</f>
        <v/>
      </c>
      <c r="G55" s="102" t="inlineStr">
        <is>
          <t>Đã xác nhận</t>
        </is>
      </c>
      <c r="H55" s="38">
        <f>IF(E55="","Chưa nhập dữ liệu",IF(NOT(ISNUMBER(C55)),"Cần cập nhật ngày",IF(I55="","Chờ hồ sơ đối chiếu",IF(E55="Đã xác nhận","Đạt mốc tham chiếu","Cần xem xét thêm"))))</f>
        <v/>
      </c>
      <c r="I55" s="43" t="n"/>
      <c r="J55" s="43" t="inlineStr">
        <is>
          <t>Đối chiếu nguồn dữ liệu, trang đích, sự kiện và nơi tiếp nhận biểu mẫu.</t>
        </is>
      </c>
    </row>
    <row r="56" ht="72" customHeight="1">
      <c r="A56" s="14" t="inlineStr">
        <is>
          <t>KY05</t>
        </is>
      </c>
      <c r="B56" s="14" t="inlineStr">
        <is>
          <t>Điều kiện tiếp cận lại nhóm đã tương tác</t>
        </is>
      </c>
      <c r="C56" s="130" t="inlineStr">
        <is>
          <t>[Chưa chốt]</t>
        </is>
      </c>
      <c r="D56" s="133" t="n"/>
      <c r="E56" s="134" t="n"/>
      <c r="F56" s="102">
        <f>IF(E56="","",E56)</f>
        <v/>
      </c>
      <c r="G56" s="102" t="inlineStr">
        <is>
          <t>Đã xác nhận / Không áp dụng</t>
        </is>
      </c>
      <c r="H56" s="38">
        <f>IF(E56="","Chưa nhập dữ liệu",IF(E56="Không áp dụng","Không áp dụng",IF(NOT(ISNUMBER(C56)),"Cần cập nhật ngày",IF(I56="","Chờ hồ sơ đối chiếu",IF(E56="Đã xác nhận","Đạt mốc tham chiếu","Cần xem xét thêm")))))</f>
        <v/>
      </c>
      <c r="I56" s="43" t="n"/>
      <c r="J56" s="43" t="inlineStr">
        <is>
          <t>Chỉ áp dụng khi đề xuất tiếp thị lại. Có thể chọn 'Không áp dụng' nếu chưa sử dụng phương án này.</t>
        </is>
      </c>
    </row>
    <row r="57" ht="72" customHeight="1">
      <c r="A57" s="38" t="inlineStr">
        <is>
          <t>KY06</t>
        </is>
      </c>
      <c r="B57" s="38" t="inlineStr">
        <is>
          <t>Đúng nhóm doanh nghiệp và vai trò</t>
        </is>
      </c>
      <c r="C57" s="130" t="inlineStr">
        <is>
          <t>[Chưa chốt]</t>
        </is>
      </c>
      <c r="D57" s="133" t="n"/>
      <c r="E57" s="134" t="n"/>
      <c r="F57" s="102">
        <f>IF(E57="","",E57)</f>
        <v/>
      </c>
      <c r="G57" s="102" t="inlineStr">
        <is>
          <t>Đã xác nhận</t>
        </is>
      </c>
      <c r="H57" s="38">
        <f>IF(E57="","Chưa nhập dữ liệu",IF(NOT(ISNUMBER(C57)),"Cần cập nhật ngày",IF(I57="","Chờ hồ sơ đối chiếu",IF(E57="Đã xác nhận","Đạt mốc tham chiếu","Cần xem xét thêm"))))</f>
        <v/>
      </c>
      <c r="I57" s="43" t="n"/>
      <c r="J57" s="43" t="inlineStr">
        <is>
          <t>Đối chiếu dữ liệu tiếp cận với nhóm doanh nghiệp và vai trò đã thống nhất.</t>
        </is>
      </c>
    </row>
    <row r="58" ht="72" customHeight="1">
      <c r="A58" s="38" t="inlineStr">
        <is>
          <t>KY06</t>
        </is>
      </c>
      <c r="B58" s="38" t="inlineStr">
        <is>
          <t>Lượt nhấp Search liên quan đúng chủ đề</t>
        </is>
      </c>
      <c r="C58" s="130" t="inlineStr">
        <is>
          <t>[Chưa chốt]</t>
        </is>
      </c>
      <c r="D58" s="135" t="n"/>
      <c r="E58" s="135" t="n"/>
      <c r="F58" s="136">
        <f>IF(AND(ISNUMBER(D58),ISNUMBER(E58),D58&gt;0,E58&gt;=0),E58/D58,"")</f>
        <v/>
      </c>
      <c r="G58" s="136">
        <f>'01_Thiet_lap'!$D$18</f>
        <v/>
      </c>
      <c r="H58" s="38">
        <f>IF(COUNT(D58:E58)=0,"Chưa nhập dữ liệu",IF(NOT(ISNUMBER(F58)),"Cần rà soát số liệu",IF(NOT(ISNUMBER(C58)),"Cần cập nhật ngày",IF(E58&gt;D58,"Cần rà soát số liệu",IF(D58&lt;'01_Thiet_lap'!$D$23,"Cần thêm dữ liệu quan sát",IF(I58="","Chờ hồ sơ đối chiếu",IF(F58&gt;=G58,"Đạt mốc tham chiếu","Cần xem xét thêm")))))))</f>
        <v/>
      </c>
      <c r="I58" s="43" t="n"/>
      <c r="J58" s="43" t="inlineStr">
        <is>
          <t>Cột D: tổng nhấp được kiểm tra. Cột E: nhấp đúng chủ đề. Mốc 7/10 là tham chiếu vận hành, không khẳng định độ tin cậy thống kê.</t>
        </is>
      </c>
    </row>
    <row r="59" ht="72" customHeight="1">
      <c r="A59" s="38" t="inlineStr">
        <is>
          <t>KY06</t>
        </is>
      </c>
      <c r="B59" s="38" t="inlineStr">
        <is>
          <t>Duy trì mức quan tâm so với ban đầu</t>
        </is>
      </c>
      <c r="C59" s="130" t="inlineStr">
        <is>
          <t>[Chưa chốt]</t>
        </is>
      </c>
      <c r="D59" s="135" t="n"/>
      <c r="E59" s="135" t="n"/>
      <c r="F59" s="136">
        <f>IF(AND(ISNUMBER(D59),ISNUMBER(E59),D59&gt;0,E59&gt;=0),E59/D59,"")</f>
        <v/>
      </c>
      <c r="G59" s="136">
        <f>'01_Thiet_lap'!$D$19</f>
        <v/>
      </c>
      <c r="H59" s="38">
        <f>IF(COUNT(D59:E59)=0,"Chưa nhập dữ liệu",IF(NOT(ISNUMBER(F59)),"Cần rà soát số liệu",IF(NOT(ISNUMBER(C59)),"Cần cập nhật ngày",IF(OR('01_Thiet_lap'!$D$28="",'01_Thiet_lap'!$D$28="[Chưa thống nhất]"),"Chờ thống nhất chỉ số",IF(I59="","Chờ hồ sơ đối chiếu",IF(F59&gt;=G59,"Đạt mốc tham chiếu","Cần xem xét thêm"))))))</f>
        <v/>
      </c>
      <c r="I59" s="43" t="n"/>
      <c r="J59" s="43" t="inlineStr">
        <is>
          <t>D/E dùng cùng chỉ số quan tâm tại Thiết lập. Kết quả = hiện tại / ban đầu.</t>
        </is>
      </c>
    </row>
    <row r="60" ht="72" customHeight="1">
      <c r="A60" s="38" t="inlineStr">
        <is>
          <t>KY06</t>
        </is>
      </c>
      <c r="B60" s="38" t="inlineStr">
        <is>
          <t>Cải thiện của phương án được ưu tiên</t>
        </is>
      </c>
      <c r="C60" s="130" t="inlineStr">
        <is>
          <t>[Chưa chốt]</t>
        </is>
      </c>
      <c r="D60" s="135" t="n"/>
      <c r="E60" s="135" t="n"/>
      <c r="F60" s="136">
        <f>IF(AND(ISNUMBER(D60),ISNUMBER(E60),D60&gt;0,E60&gt;=0),E60/D60-1,"")</f>
        <v/>
      </c>
      <c r="G60" s="136">
        <f>'01_Thiet_lap'!$D$20</f>
        <v/>
      </c>
      <c r="H60" s="38">
        <f>IF(COUNT(D60:E60)=0,"Chưa nhập dữ liệu",IF(NOT(ISNUMBER(F60)),"Cần rà soát số liệu",IF(NOT(ISNUMBER(C60)),"Cần cập nhật ngày",IF(OR('01_Thiet_lap'!$D$29="",'01_Thiet_lap'!$D$29="[Chưa thống nhất]"),"Chờ thống nhất chỉ số",IF(I60="","Chờ hồ sơ đối chiếu",IF(F60&gt;=G60,"Đạt mốc tham chiếu","Cần xem xét thêm"))))))</f>
        <v/>
      </c>
      <c r="I60" s="43" t="n"/>
      <c r="J60" s="43" t="inlineStr">
        <is>
          <t>D: phương án đối chiếu; E: phương án được ưu tiên. Dùng chỉ số tăng là tốt hơn. Tiêu chí này là một lựa chọn thay thế cho giảm chi phí.</t>
        </is>
      </c>
    </row>
    <row r="61" ht="72" customHeight="1">
      <c r="A61" s="38" t="inlineStr">
        <is>
          <t>KY06</t>
        </is>
      </c>
      <c r="B61" s="38" t="inlineStr">
        <is>
          <t>Giảm chi phí với chất lượng tương đương</t>
        </is>
      </c>
      <c r="C61" s="130" t="inlineStr">
        <is>
          <t>[Chưa chốt]</t>
        </is>
      </c>
      <c r="D61" s="135" t="n"/>
      <c r="E61" s="135" t="n"/>
      <c r="F61" s="136">
        <f>IF(AND(ISNUMBER(D61),ISNUMBER(E61),D61&gt;0,E61&gt;=0),1-E61/D61,"")</f>
        <v/>
      </c>
      <c r="G61" s="136">
        <f>'01_Thiet_lap'!$D$21</f>
        <v/>
      </c>
      <c r="H61" s="38">
        <f>IF(COUNT(D61:E61)=0,"Chưa nhập dữ liệu",IF(NOT(ISNUMBER(F61)),"Cần rà soát số liệu",IF(NOT(ISNUMBER(C61)),"Cần cập nhật ngày",IF(OR('01_Thiet_lap'!$D$30="",'01_Thiet_lap'!$D$30="[Chưa thống nhất]"),"Chờ thống nhất chỉ số",IF(I61="","Chờ hồ sơ đối chiếu",IF(F61&gt;=G61,"Đạt mốc tham chiếu","Cần xem xét thêm"))))))</f>
        <v/>
      </c>
      <c r="I61" s="43" t="n"/>
      <c r="J61" s="43" t="inlineStr">
        <is>
          <t>D/E cùng đơn vị chi phí. Mức giảm = 1 − hiện tại/đối chiếu. Cần kèm bằng chứng chất lượng tương đương.</t>
        </is>
      </c>
    </row>
    <row r="62" ht="72" customHeight="1">
      <c r="A62" s="38" t="inlineStr">
        <is>
          <t>KY06</t>
        </is>
      </c>
      <c r="B62" s="38" t="inlineStr">
        <is>
          <t>Chất lượng ổn định khi tăng phân bổ</t>
        </is>
      </c>
      <c r="C62" s="130" t="inlineStr">
        <is>
          <t>[Chưa chốt]</t>
        </is>
      </c>
      <c r="D62" s="133" t="n"/>
      <c r="E62" s="134" t="n"/>
      <c r="F62" s="102">
        <f>IF(E62="","",E62)</f>
        <v/>
      </c>
      <c r="G62" s="102" t="inlineStr">
        <is>
          <t>Đã xác nhận</t>
        </is>
      </c>
      <c r="H62" s="38">
        <f>IF(E62="","Chưa nhập dữ liệu",IF(NOT(ISNUMBER(C62)),"Cần cập nhật ngày",IF(I62="","Chờ hồ sơ đối chiếu",IF(E62="Đã xác nhận","Đạt mốc tham chiếu","Cần xem xét thêm"))))</f>
        <v/>
      </c>
      <c r="I62" s="43" t="n"/>
      <c r="J62" s="43" t="inlineStr">
        <is>
          <t>Ghi bằng chứng chất lượng được duy trì; không chỉ dựa trên số lượng tương tác.</t>
        </is>
      </c>
    </row>
    <row r="63" ht="72" customHeight="1">
      <c r="A63" s="38" t="inlineStr">
        <is>
          <t>KY06</t>
        </is>
      </c>
      <c r="B63" s="38" t="inlineStr">
        <is>
          <t>Mức suy giảm sau mở rộng cấp 1</t>
        </is>
      </c>
      <c r="C63" s="130" t="inlineStr">
        <is>
          <t>[Chưa chốt]</t>
        </is>
      </c>
      <c r="D63" s="135" t="n"/>
      <c r="E63" s="135" t="n"/>
      <c r="F63" s="136">
        <f>IF(AND(ISNUMBER(D63),ISNUMBER(E63),D63&gt;0,E63&gt;=0),MAX(0,1-E63/D63),"")</f>
        <v/>
      </c>
      <c r="G63" s="136">
        <f>'01_Thiet_lap'!$D$22</f>
        <v/>
      </c>
      <c r="H63" s="38">
        <f>IF(COUNT(D63:E63)=0,"Chưa nhập dữ liệu",IF(NOT(ISNUMBER(F63)),"Cần rà soát số liệu",IF(NOT(ISNUMBER(C63)),"Cần cập nhật ngày",IF(OR('01_Thiet_lap'!$D$28="",'01_Thiet_lap'!$D$28="[Chưa thống nhất]"),"Chờ thống nhất chỉ số",IF(I63="","Chờ hồ sơ đối chiếu",IF(F63&lt;=G63,"Đạt mốc tham chiếu","Cần xem xét thêm"))))))</f>
        <v/>
      </c>
      <c r="I63" s="43" t="n"/>
      <c r="J63" s="43" t="inlineStr">
        <is>
          <t>Dùng khi xét cấp 2. D: mốc đối chiếu đã thống nhất; E: kỳ hiện tại. Mức giảm = MAX(0; 1 − hiện tại/đối chiếu).</t>
        </is>
      </c>
    </row>
    <row r="64" ht="72" customHeight="1">
      <c r="A64" s="38" t="inlineStr">
        <is>
          <t>KY06</t>
        </is>
      </c>
      <c r="B64" s="38" t="inlineStr">
        <is>
          <t>Dư địa tiếp cận thêm đúng nhóm mục tiêu</t>
        </is>
      </c>
      <c r="C64" s="130" t="inlineStr">
        <is>
          <t>[Chưa chốt]</t>
        </is>
      </c>
      <c r="D64" s="133" t="n"/>
      <c r="E64" s="134" t="n"/>
      <c r="F64" s="102">
        <f>IF(E64="","",E64)</f>
        <v/>
      </c>
      <c r="G64" s="102" t="inlineStr">
        <is>
          <t>Đã xác nhận</t>
        </is>
      </c>
      <c r="H64" s="38">
        <f>IF(E64="","Chưa nhập dữ liệu",IF(NOT(ISNUMBER(C64)),"Cần cập nhật ngày",IF(I64="","Chờ hồ sơ đối chiếu",IF(E64="Đã xác nhận","Đạt mốc tham chiếu","Cần xem xét thêm"))))</f>
        <v/>
      </c>
      <c r="I64" s="43" t="n"/>
      <c r="J64" s="43" t="inlineStr">
        <is>
          <t>Dùng khi xem xét mở rộng, đặc biệt cấp 2; đối chiếu phạm vi tệp và chất lượng tiếp cận.</t>
        </is>
      </c>
    </row>
    <row r="65" ht="72" customHeight="1">
      <c r="A65" s="38" t="inlineStr">
        <is>
          <t>KY06</t>
        </is>
      </c>
      <c r="B65" s="38" t="inlineStr">
        <is>
          <t>Độ tin cậy của đo lường và trang đích</t>
        </is>
      </c>
      <c r="C65" s="130" t="inlineStr">
        <is>
          <t>[Chưa chốt]</t>
        </is>
      </c>
      <c r="D65" s="133" t="n"/>
      <c r="E65" s="134" t="n"/>
      <c r="F65" s="102">
        <f>IF(E65="","",E65)</f>
        <v/>
      </c>
      <c r="G65" s="102" t="inlineStr">
        <is>
          <t>Đã xác nhận</t>
        </is>
      </c>
      <c r="H65" s="38">
        <f>IF(E65="","Chưa nhập dữ liệu",IF(NOT(ISNUMBER(C65)),"Cần cập nhật ngày",IF(I65="","Chờ hồ sơ đối chiếu",IF(E65="Đã xác nhận","Đạt mốc tham chiếu","Cần xem xét thêm"))))</f>
        <v/>
      </c>
      <c r="I65" s="43" t="n"/>
      <c r="J65" s="43" t="inlineStr">
        <is>
          <t>Đối chiếu nguồn dữ liệu, trang đích, sự kiện và nơi tiếp nhận biểu mẫu.</t>
        </is>
      </c>
    </row>
    <row r="66" ht="72" customHeight="1">
      <c r="A66" s="38" t="inlineStr">
        <is>
          <t>KY06</t>
        </is>
      </c>
      <c r="B66" s="38" t="inlineStr">
        <is>
          <t>Điều kiện tiếp cận lại nhóm đã tương tác</t>
        </is>
      </c>
      <c r="C66" s="130" t="inlineStr">
        <is>
          <t>[Chưa chốt]</t>
        </is>
      </c>
      <c r="D66" s="133" t="n"/>
      <c r="E66" s="134" t="n"/>
      <c r="F66" s="102">
        <f>IF(E66="","",E66)</f>
        <v/>
      </c>
      <c r="G66" s="102" t="inlineStr">
        <is>
          <t>Đã xác nhận / Không áp dụng</t>
        </is>
      </c>
      <c r="H66" s="38">
        <f>IF(E66="","Chưa nhập dữ liệu",IF(E66="Không áp dụng","Không áp dụng",IF(NOT(ISNUMBER(C66)),"Cần cập nhật ngày",IF(I66="","Chờ hồ sơ đối chiếu",IF(E66="Đã xác nhận","Đạt mốc tham chiếu","Cần xem xét thêm")))))</f>
        <v/>
      </c>
      <c r="I66" s="43" t="n"/>
      <c r="J66" s="43" t="inlineStr">
        <is>
          <t>Chỉ áp dụng khi đề xuất tiếp thị lại. Có thể chọn 'Không áp dụng' nếu chưa sử dụng phương án này.</t>
        </is>
      </c>
    </row>
    <row r="67" ht="72" customHeight="1">
      <c r="A67" s="14" t="inlineStr">
        <is>
          <t>KY07</t>
        </is>
      </c>
      <c r="B67" s="14" t="inlineStr">
        <is>
          <t>Đúng nhóm doanh nghiệp và vai trò</t>
        </is>
      </c>
      <c r="C67" s="130" t="inlineStr">
        <is>
          <t>[Chưa chốt]</t>
        </is>
      </c>
      <c r="D67" s="133" t="n"/>
      <c r="E67" s="134" t="n"/>
      <c r="F67" s="102">
        <f>IF(E67="","",E67)</f>
        <v/>
      </c>
      <c r="G67" s="102" t="inlineStr">
        <is>
          <t>Đã xác nhận</t>
        </is>
      </c>
      <c r="H67" s="38">
        <f>IF(E67="","Chưa nhập dữ liệu",IF(NOT(ISNUMBER(C67)),"Cần cập nhật ngày",IF(I67="","Chờ hồ sơ đối chiếu",IF(E67="Đã xác nhận","Đạt mốc tham chiếu","Cần xem xét thêm"))))</f>
        <v/>
      </c>
      <c r="I67" s="43" t="n"/>
      <c r="J67" s="43" t="inlineStr">
        <is>
          <t>Đối chiếu dữ liệu tiếp cận với nhóm doanh nghiệp và vai trò đã thống nhất.</t>
        </is>
      </c>
    </row>
    <row r="68" ht="72" customHeight="1">
      <c r="A68" s="14" t="inlineStr">
        <is>
          <t>KY07</t>
        </is>
      </c>
      <c r="B68" s="14" t="inlineStr">
        <is>
          <t>Lượt nhấp Search liên quan đúng chủ đề</t>
        </is>
      </c>
      <c r="C68" s="130" t="inlineStr">
        <is>
          <t>[Chưa chốt]</t>
        </is>
      </c>
      <c r="D68" s="135" t="n"/>
      <c r="E68" s="135" t="n"/>
      <c r="F68" s="136">
        <f>IF(AND(ISNUMBER(D68),ISNUMBER(E68),D68&gt;0,E68&gt;=0),E68/D68,"")</f>
        <v/>
      </c>
      <c r="G68" s="136">
        <f>'01_Thiet_lap'!$D$18</f>
        <v/>
      </c>
      <c r="H68" s="38">
        <f>IF(COUNT(D68:E68)=0,"Chưa nhập dữ liệu",IF(NOT(ISNUMBER(F68)),"Cần rà soát số liệu",IF(NOT(ISNUMBER(C68)),"Cần cập nhật ngày",IF(E68&gt;D68,"Cần rà soát số liệu",IF(D68&lt;'01_Thiet_lap'!$D$23,"Cần thêm dữ liệu quan sát",IF(I68="","Chờ hồ sơ đối chiếu",IF(F68&gt;=G68,"Đạt mốc tham chiếu","Cần xem xét thêm")))))))</f>
        <v/>
      </c>
      <c r="I68" s="43" t="n"/>
      <c r="J68" s="43" t="inlineStr">
        <is>
          <t>Cột D: tổng nhấp được kiểm tra. Cột E: nhấp đúng chủ đề. Mốc 7/10 là tham chiếu vận hành, không khẳng định độ tin cậy thống kê.</t>
        </is>
      </c>
    </row>
    <row r="69" ht="72" customHeight="1">
      <c r="A69" s="14" t="inlineStr">
        <is>
          <t>KY07</t>
        </is>
      </c>
      <c r="B69" s="14" t="inlineStr">
        <is>
          <t>Duy trì mức quan tâm so với ban đầu</t>
        </is>
      </c>
      <c r="C69" s="130" t="inlineStr">
        <is>
          <t>[Chưa chốt]</t>
        </is>
      </c>
      <c r="D69" s="135" t="n"/>
      <c r="E69" s="135" t="n"/>
      <c r="F69" s="136">
        <f>IF(AND(ISNUMBER(D69),ISNUMBER(E69),D69&gt;0,E69&gt;=0),E69/D69,"")</f>
        <v/>
      </c>
      <c r="G69" s="136">
        <f>'01_Thiet_lap'!$D$19</f>
        <v/>
      </c>
      <c r="H69" s="38">
        <f>IF(COUNT(D69:E69)=0,"Chưa nhập dữ liệu",IF(NOT(ISNUMBER(F69)),"Cần rà soát số liệu",IF(NOT(ISNUMBER(C69)),"Cần cập nhật ngày",IF(OR('01_Thiet_lap'!$D$28="",'01_Thiet_lap'!$D$28="[Chưa thống nhất]"),"Chờ thống nhất chỉ số",IF(I69="","Chờ hồ sơ đối chiếu",IF(F69&gt;=G69,"Đạt mốc tham chiếu","Cần xem xét thêm"))))))</f>
        <v/>
      </c>
      <c r="I69" s="43" t="n"/>
      <c r="J69" s="43" t="inlineStr">
        <is>
          <t>D/E dùng cùng chỉ số quan tâm tại Thiết lập. Kết quả = hiện tại / ban đầu.</t>
        </is>
      </c>
    </row>
    <row r="70" ht="72" customHeight="1">
      <c r="A70" s="14" t="inlineStr">
        <is>
          <t>KY07</t>
        </is>
      </c>
      <c r="B70" s="14" t="inlineStr">
        <is>
          <t>Cải thiện của phương án được ưu tiên</t>
        </is>
      </c>
      <c r="C70" s="130" t="inlineStr">
        <is>
          <t>[Chưa chốt]</t>
        </is>
      </c>
      <c r="D70" s="135" t="n"/>
      <c r="E70" s="135" t="n"/>
      <c r="F70" s="136">
        <f>IF(AND(ISNUMBER(D70),ISNUMBER(E70),D70&gt;0,E70&gt;=0),E70/D70-1,"")</f>
        <v/>
      </c>
      <c r="G70" s="136">
        <f>'01_Thiet_lap'!$D$20</f>
        <v/>
      </c>
      <c r="H70" s="38">
        <f>IF(COUNT(D70:E70)=0,"Chưa nhập dữ liệu",IF(NOT(ISNUMBER(F70)),"Cần rà soát số liệu",IF(NOT(ISNUMBER(C70)),"Cần cập nhật ngày",IF(OR('01_Thiet_lap'!$D$29="",'01_Thiet_lap'!$D$29="[Chưa thống nhất]"),"Chờ thống nhất chỉ số",IF(I70="","Chờ hồ sơ đối chiếu",IF(F70&gt;=G70,"Đạt mốc tham chiếu","Cần xem xét thêm"))))))</f>
        <v/>
      </c>
      <c r="I70" s="43" t="n"/>
      <c r="J70" s="43" t="inlineStr">
        <is>
          <t>D: phương án đối chiếu; E: phương án được ưu tiên. Dùng chỉ số tăng là tốt hơn. Tiêu chí này là một lựa chọn thay thế cho giảm chi phí.</t>
        </is>
      </c>
    </row>
    <row r="71" ht="72" customHeight="1">
      <c r="A71" s="14" t="inlineStr">
        <is>
          <t>KY07</t>
        </is>
      </c>
      <c r="B71" s="14" t="inlineStr">
        <is>
          <t>Giảm chi phí với chất lượng tương đương</t>
        </is>
      </c>
      <c r="C71" s="130" t="inlineStr">
        <is>
          <t>[Chưa chốt]</t>
        </is>
      </c>
      <c r="D71" s="135" t="n"/>
      <c r="E71" s="135" t="n"/>
      <c r="F71" s="136">
        <f>IF(AND(ISNUMBER(D71),ISNUMBER(E71),D71&gt;0,E71&gt;=0),1-E71/D71,"")</f>
        <v/>
      </c>
      <c r="G71" s="136">
        <f>'01_Thiet_lap'!$D$21</f>
        <v/>
      </c>
      <c r="H71" s="38">
        <f>IF(COUNT(D71:E71)=0,"Chưa nhập dữ liệu",IF(NOT(ISNUMBER(F71)),"Cần rà soát số liệu",IF(NOT(ISNUMBER(C71)),"Cần cập nhật ngày",IF(OR('01_Thiet_lap'!$D$30="",'01_Thiet_lap'!$D$30="[Chưa thống nhất]"),"Chờ thống nhất chỉ số",IF(I71="","Chờ hồ sơ đối chiếu",IF(F71&gt;=G71,"Đạt mốc tham chiếu","Cần xem xét thêm"))))))</f>
        <v/>
      </c>
      <c r="I71" s="43" t="n"/>
      <c r="J71" s="43" t="inlineStr">
        <is>
          <t>D/E cùng đơn vị chi phí. Mức giảm = 1 − hiện tại/đối chiếu. Cần kèm bằng chứng chất lượng tương đương.</t>
        </is>
      </c>
    </row>
    <row r="72" ht="72" customHeight="1">
      <c r="A72" s="14" t="inlineStr">
        <is>
          <t>KY07</t>
        </is>
      </c>
      <c r="B72" s="14" t="inlineStr">
        <is>
          <t>Chất lượng ổn định khi tăng phân bổ</t>
        </is>
      </c>
      <c r="C72" s="130" t="inlineStr">
        <is>
          <t>[Chưa chốt]</t>
        </is>
      </c>
      <c r="D72" s="133" t="n"/>
      <c r="E72" s="134" t="n"/>
      <c r="F72" s="102">
        <f>IF(E72="","",E72)</f>
        <v/>
      </c>
      <c r="G72" s="102" t="inlineStr">
        <is>
          <t>Đã xác nhận</t>
        </is>
      </c>
      <c r="H72" s="38">
        <f>IF(E72="","Chưa nhập dữ liệu",IF(NOT(ISNUMBER(C72)),"Cần cập nhật ngày",IF(I72="","Chờ hồ sơ đối chiếu",IF(E72="Đã xác nhận","Đạt mốc tham chiếu","Cần xem xét thêm"))))</f>
        <v/>
      </c>
      <c r="I72" s="43" t="n"/>
      <c r="J72" s="43" t="inlineStr">
        <is>
          <t>Ghi bằng chứng chất lượng được duy trì; không chỉ dựa trên số lượng tương tác.</t>
        </is>
      </c>
    </row>
    <row r="73" ht="72" customHeight="1">
      <c r="A73" s="14" t="inlineStr">
        <is>
          <t>KY07</t>
        </is>
      </c>
      <c r="B73" s="14" t="inlineStr">
        <is>
          <t>Mức suy giảm sau mở rộng cấp 1</t>
        </is>
      </c>
      <c r="C73" s="130" t="inlineStr">
        <is>
          <t>[Chưa chốt]</t>
        </is>
      </c>
      <c r="D73" s="135" t="n"/>
      <c r="E73" s="135" t="n"/>
      <c r="F73" s="136">
        <f>IF(AND(ISNUMBER(D73),ISNUMBER(E73),D73&gt;0,E73&gt;=0),MAX(0,1-E73/D73),"")</f>
        <v/>
      </c>
      <c r="G73" s="136">
        <f>'01_Thiet_lap'!$D$22</f>
        <v/>
      </c>
      <c r="H73" s="38">
        <f>IF(COUNT(D73:E73)=0,"Chưa nhập dữ liệu",IF(NOT(ISNUMBER(F73)),"Cần rà soát số liệu",IF(NOT(ISNUMBER(C73)),"Cần cập nhật ngày",IF(OR('01_Thiet_lap'!$D$28="",'01_Thiet_lap'!$D$28="[Chưa thống nhất]"),"Chờ thống nhất chỉ số",IF(I73="","Chờ hồ sơ đối chiếu",IF(F73&lt;=G73,"Đạt mốc tham chiếu","Cần xem xét thêm"))))))</f>
        <v/>
      </c>
      <c r="I73" s="43" t="n"/>
      <c r="J73" s="43" t="inlineStr">
        <is>
          <t>Dùng khi xét cấp 2. D: mốc đối chiếu đã thống nhất; E: kỳ hiện tại. Mức giảm = MAX(0; 1 − hiện tại/đối chiếu).</t>
        </is>
      </c>
    </row>
    <row r="74" ht="72" customHeight="1">
      <c r="A74" s="14" t="inlineStr">
        <is>
          <t>KY07</t>
        </is>
      </c>
      <c r="B74" s="14" t="inlineStr">
        <is>
          <t>Dư địa tiếp cận thêm đúng nhóm mục tiêu</t>
        </is>
      </c>
      <c r="C74" s="130" t="inlineStr">
        <is>
          <t>[Chưa chốt]</t>
        </is>
      </c>
      <c r="D74" s="133" t="n"/>
      <c r="E74" s="134" t="n"/>
      <c r="F74" s="102">
        <f>IF(E74="","",E74)</f>
        <v/>
      </c>
      <c r="G74" s="102" t="inlineStr">
        <is>
          <t>Đã xác nhận</t>
        </is>
      </c>
      <c r="H74" s="38">
        <f>IF(E74="","Chưa nhập dữ liệu",IF(NOT(ISNUMBER(C74)),"Cần cập nhật ngày",IF(I74="","Chờ hồ sơ đối chiếu",IF(E74="Đã xác nhận","Đạt mốc tham chiếu","Cần xem xét thêm"))))</f>
        <v/>
      </c>
      <c r="I74" s="43" t="n"/>
      <c r="J74" s="43" t="inlineStr">
        <is>
          <t>Dùng khi xem xét mở rộng, đặc biệt cấp 2; đối chiếu phạm vi tệp và chất lượng tiếp cận.</t>
        </is>
      </c>
    </row>
    <row r="75" ht="72" customHeight="1">
      <c r="A75" s="14" t="inlineStr">
        <is>
          <t>KY07</t>
        </is>
      </c>
      <c r="B75" s="14" t="inlineStr">
        <is>
          <t>Độ tin cậy của đo lường và trang đích</t>
        </is>
      </c>
      <c r="C75" s="130" t="inlineStr">
        <is>
          <t>[Chưa chốt]</t>
        </is>
      </c>
      <c r="D75" s="133" t="n"/>
      <c r="E75" s="134" t="n"/>
      <c r="F75" s="102">
        <f>IF(E75="","",E75)</f>
        <v/>
      </c>
      <c r="G75" s="102" t="inlineStr">
        <is>
          <t>Đã xác nhận</t>
        </is>
      </c>
      <c r="H75" s="38">
        <f>IF(E75="","Chưa nhập dữ liệu",IF(NOT(ISNUMBER(C75)),"Cần cập nhật ngày",IF(I75="","Chờ hồ sơ đối chiếu",IF(E75="Đã xác nhận","Đạt mốc tham chiếu","Cần xem xét thêm"))))</f>
        <v/>
      </c>
      <c r="I75" s="43" t="n"/>
      <c r="J75" s="43" t="inlineStr">
        <is>
          <t>Đối chiếu nguồn dữ liệu, trang đích, sự kiện và nơi tiếp nhận biểu mẫu.</t>
        </is>
      </c>
    </row>
    <row r="76" ht="72" customHeight="1">
      <c r="A76" s="14" t="inlineStr">
        <is>
          <t>KY07</t>
        </is>
      </c>
      <c r="B76" s="14" t="inlineStr">
        <is>
          <t>Điều kiện tiếp cận lại nhóm đã tương tác</t>
        </is>
      </c>
      <c r="C76" s="130" t="inlineStr">
        <is>
          <t>[Chưa chốt]</t>
        </is>
      </c>
      <c r="D76" s="133" t="n"/>
      <c r="E76" s="134" t="n"/>
      <c r="F76" s="102">
        <f>IF(E76="","",E76)</f>
        <v/>
      </c>
      <c r="G76" s="102" t="inlineStr">
        <is>
          <t>Đã xác nhận / Không áp dụng</t>
        </is>
      </c>
      <c r="H76" s="38">
        <f>IF(E76="","Chưa nhập dữ liệu",IF(E76="Không áp dụng","Không áp dụng",IF(NOT(ISNUMBER(C76)),"Cần cập nhật ngày",IF(I76="","Chờ hồ sơ đối chiếu",IF(E76="Đã xác nhận","Đạt mốc tham chiếu","Cần xem xét thêm")))))</f>
        <v/>
      </c>
      <c r="I76" s="43" t="n"/>
      <c r="J76" s="43" t="inlineStr">
        <is>
          <t>Chỉ áp dụng khi đề xuất tiếp thị lại. Có thể chọn 'Không áp dụng' nếu chưa sử dụng phương án này.</t>
        </is>
      </c>
    </row>
    <row r="77" ht="72" customHeight="1">
      <c r="A77" s="38" t="inlineStr">
        <is>
          <t>KY08</t>
        </is>
      </c>
      <c r="B77" s="38" t="inlineStr">
        <is>
          <t>Đúng nhóm doanh nghiệp và vai trò</t>
        </is>
      </c>
      <c r="C77" s="130" t="inlineStr">
        <is>
          <t>[Chưa chốt]</t>
        </is>
      </c>
      <c r="D77" s="133" t="n"/>
      <c r="E77" s="134" t="n"/>
      <c r="F77" s="102">
        <f>IF(E77="","",E77)</f>
        <v/>
      </c>
      <c r="G77" s="102" t="inlineStr">
        <is>
          <t>Đã xác nhận</t>
        </is>
      </c>
      <c r="H77" s="38">
        <f>IF(E77="","Chưa nhập dữ liệu",IF(NOT(ISNUMBER(C77)),"Cần cập nhật ngày",IF(I77="","Chờ hồ sơ đối chiếu",IF(E77="Đã xác nhận","Đạt mốc tham chiếu","Cần xem xét thêm"))))</f>
        <v/>
      </c>
      <c r="I77" s="43" t="n"/>
      <c r="J77" s="43" t="inlineStr">
        <is>
          <t>Đối chiếu dữ liệu tiếp cận với nhóm doanh nghiệp và vai trò đã thống nhất.</t>
        </is>
      </c>
    </row>
    <row r="78" ht="72" customHeight="1">
      <c r="A78" s="38" t="inlineStr">
        <is>
          <t>KY08</t>
        </is>
      </c>
      <c r="B78" s="38" t="inlineStr">
        <is>
          <t>Lượt nhấp Search liên quan đúng chủ đề</t>
        </is>
      </c>
      <c r="C78" s="130" t="inlineStr">
        <is>
          <t>[Chưa chốt]</t>
        </is>
      </c>
      <c r="D78" s="135" t="n"/>
      <c r="E78" s="135" t="n"/>
      <c r="F78" s="136">
        <f>IF(AND(ISNUMBER(D78),ISNUMBER(E78),D78&gt;0,E78&gt;=0),E78/D78,"")</f>
        <v/>
      </c>
      <c r="G78" s="136">
        <f>'01_Thiet_lap'!$D$18</f>
        <v/>
      </c>
      <c r="H78" s="38">
        <f>IF(COUNT(D78:E78)=0,"Chưa nhập dữ liệu",IF(NOT(ISNUMBER(F78)),"Cần rà soát số liệu",IF(NOT(ISNUMBER(C78)),"Cần cập nhật ngày",IF(E78&gt;D78,"Cần rà soát số liệu",IF(D78&lt;'01_Thiet_lap'!$D$23,"Cần thêm dữ liệu quan sát",IF(I78="","Chờ hồ sơ đối chiếu",IF(F78&gt;=G78,"Đạt mốc tham chiếu","Cần xem xét thêm")))))))</f>
        <v/>
      </c>
      <c r="I78" s="43" t="n"/>
      <c r="J78" s="43" t="inlineStr">
        <is>
          <t>Cột D: tổng nhấp được kiểm tra. Cột E: nhấp đúng chủ đề. Mốc 7/10 là tham chiếu vận hành, không khẳng định độ tin cậy thống kê.</t>
        </is>
      </c>
    </row>
    <row r="79" ht="72" customHeight="1">
      <c r="A79" s="38" t="inlineStr">
        <is>
          <t>KY08</t>
        </is>
      </c>
      <c r="B79" s="38" t="inlineStr">
        <is>
          <t>Duy trì mức quan tâm so với ban đầu</t>
        </is>
      </c>
      <c r="C79" s="130" t="inlineStr">
        <is>
          <t>[Chưa chốt]</t>
        </is>
      </c>
      <c r="D79" s="135" t="n"/>
      <c r="E79" s="135" t="n"/>
      <c r="F79" s="136">
        <f>IF(AND(ISNUMBER(D79),ISNUMBER(E79),D79&gt;0,E79&gt;=0),E79/D79,"")</f>
        <v/>
      </c>
      <c r="G79" s="136">
        <f>'01_Thiet_lap'!$D$19</f>
        <v/>
      </c>
      <c r="H79" s="38">
        <f>IF(COUNT(D79:E79)=0,"Chưa nhập dữ liệu",IF(NOT(ISNUMBER(F79)),"Cần rà soát số liệu",IF(NOT(ISNUMBER(C79)),"Cần cập nhật ngày",IF(OR('01_Thiet_lap'!$D$28="",'01_Thiet_lap'!$D$28="[Chưa thống nhất]"),"Chờ thống nhất chỉ số",IF(I79="","Chờ hồ sơ đối chiếu",IF(F79&gt;=G79,"Đạt mốc tham chiếu","Cần xem xét thêm"))))))</f>
        <v/>
      </c>
      <c r="I79" s="43" t="n"/>
      <c r="J79" s="43" t="inlineStr">
        <is>
          <t>D/E dùng cùng chỉ số quan tâm tại Thiết lập. Kết quả = hiện tại / ban đầu.</t>
        </is>
      </c>
    </row>
    <row r="80" ht="72" customHeight="1">
      <c r="A80" s="38" t="inlineStr">
        <is>
          <t>KY08</t>
        </is>
      </c>
      <c r="B80" s="38" t="inlineStr">
        <is>
          <t>Cải thiện của phương án được ưu tiên</t>
        </is>
      </c>
      <c r="C80" s="130" t="inlineStr">
        <is>
          <t>[Chưa chốt]</t>
        </is>
      </c>
      <c r="D80" s="135" t="n"/>
      <c r="E80" s="135" t="n"/>
      <c r="F80" s="136">
        <f>IF(AND(ISNUMBER(D80),ISNUMBER(E80),D80&gt;0,E80&gt;=0),E80/D80-1,"")</f>
        <v/>
      </c>
      <c r="G80" s="136">
        <f>'01_Thiet_lap'!$D$20</f>
        <v/>
      </c>
      <c r="H80" s="38">
        <f>IF(COUNT(D80:E80)=0,"Chưa nhập dữ liệu",IF(NOT(ISNUMBER(F80)),"Cần rà soát số liệu",IF(NOT(ISNUMBER(C80)),"Cần cập nhật ngày",IF(OR('01_Thiet_lap'!$D$29="",'01_Thiet_lap'!$D$29="[Chưa thống nhất]"),"Chờ thống nhất chỉ số",IF(I80="","Chờ hồ sơ đối chiếu",IF(F80&gt;=G80,"Đạt mốc tham chiếu","Cần xem xét thêm"))))))</f>
        <v/>
      </c>
      <c r="I80" s="43" t="n"/>
      <c r="J80" s="43" t="inlineStr">
        <is>
          <t>D: phương án đối chiếu; E: phương án được ưu tiên. Dùng chỉ số tăng là tốt hơn. Tiêu chí này là một lựa chọn thay thế cho giảm chi phí.</t>
        </is>
      </c>
    </row>
    <row r="81" ht="72" customHeight="1">
      <c r="A81" s="38" t="inlineStr">
        <is>
          <t>KY08</t>
        </is>
      </c>
      <c r="B81" s="38" t="inlineStr">
        <is>
          <t>Giảm chi phí với chất lượng tương đương</t>
        </is>
      </c>
      <c r="C81" s="130" t="inlineStr">
        <is>
          <t>[Chưa chốt]</t>
        </is>
      </c>
      <c r="D81" s="135" t="n"/>
      <c r="E81" s="135" t="n"/>
      <c r="F81" s="136">
        <f>IF(AND(ISNUMBER(D81),ISNUMBER(E81),D81&gt;0,E81&gt;=0),1-E81/D81,"")</f>
        <v/>
      </c>
      <c r="G81" s="136">
        <f>'01_Thiet_lap'!$D$21</f>
        <v/>
      </c>
      <c r="H81" s="38">
        <f>IF(COUNT(D81:E81)=0,"Chưa nhập dữ liệu",IF(NOT(ISNUMBER(F81)),"Cần rà soát số liệu",IF(NOT(ISNUMBER(C81)),"Cần cập nhật ngày",IF(OR('01_Thiet_lap'!$D$30="",'01_Thiet_lap'!$D$30="[Chưa thống nhất]"),"Chờ thống nhất chỉ số",IF(I81="","Chờ hồ sơ đối chiếu",IF(F81&gt;=G81,"Đạt mốc tham chiếu","Cần xem xét thêm"))))))</f>
        <v/>
      </c>
      <c r="I81" s="43" t="n"/>
      <c r="J81" s="43" t="inlineStr">
        <is>
          <t>D/E cùng đơn vị chi phí. Mức giảm = 1 − hiện tại/đối chiếu. Cần kèm bằng chứng chất lượng tương đương.</t>
        </is>
      </c>
    </row>
    <row r="82" ht="72" customHeight="1">
      <c r="A82" s="38" t="inlineStr">
        <is>
          <t>KY08</t>
        </is>
      </c>
      <c r="B82" s="38" t="inlineStr">
        <is>
          <t>Chất lượng ổn định khi tăng phân bổ</t>
        </is>
      </c>
      <c r="C82" s="130" t="inlineStr">
        <is>
          <t>[Chưa chốt]</t>
        </is>
      </c>
      <c r="D82" s="133" t="n"/>
      <c r="E82" s="134" t="n"/>
      <c r="F82" s="102">
        <f>IF(E82="","",E82)</f>
        <v/>
      </c>
      <c r="G82" s="102" t="inlineStr">
        <is>
          <t>Đã xác nhận</t>
        </is>
      </c>
      <c r="H82" s="38">
        <f>IF(E82="","Chưa nhập dữ liệu",IF(NOT(ISNUMBER(C82)),"Cần cập nhật ngày",IF(I82="","Chờ hồ sơ đối chiếu",IF(E82="Đã xác nhận","Đạt mốc tham chiếu","Cần xem xét thêm"))))</f>
        <v/>
      </c>
      <c r="I82" s="43" t="n"/>
      <c r="J82" s="43" t="inlineStr">
        <is>
          <t>Ghi bằng chứng chất lượng được duy trì; không chỉ dựa trên số lượng tương tác.</t>
        </is>
      </c>
    </row>
    <row r="83" ht="72" customHeight="1">
      <c r="A83" s="38" t="inlineStr">
        <is>
          <t>KY08</t>
        </is>
      </c>
      <c r="B83" s="38" t="inlineStr">
        <is>
          <t>Mức suy giảm sau mở rộng cấp 1</t>
        </is>
      </c>
      <c r="C83" s="130" t="inlineStr">
        <is>
          <t>[Chưa chốt]</t>
        </is>
      </c>
      <c r="D83" s="135" t="n"/>
      <c r="E83" s="135" t="n"/>
      <c r="F83" s="136">
        <f>IF(AND(ISNUMBER(D83),ISNUMBER(E83),D83&gt;0,E83&gt;=0),MAX(0,1-E83/D83),"")</f>
        <v/>
      </c>
      <c r="G83" s="136">
        <f>'01_Thiet_lap'!$D$22</f>
        <v/>
      </c>
      <c r="H83" s="38">
        <f>IF(COUNT(D83:E83)=0,"Chưa nhập dữ liệu",IF(NOT(ISNUMBER(F83)),"Cần rà soát số liệu",IF(NOT(ISNUMBER(C83)),"Cần cập nhật ngày",IF(OR('01_Thiet_lap'!$D$28="",'01_Thiet_lap'!$D$28="[Chưa thống nhất]"),"Chờ thống nhất chỉ số",IF(I83="","Chờ hồ sơ đối chiếu",IF(F83&lt;=G83,"Đạt mốc tham chiếu","Cần xem xét thêm"))))))</f>
        <v/>
      </c>
      <c r="I83" s="43" t="n"/>
      <c r="J83" s="43" t="inlineStr">
        <is>
          <t>Dùng khi xét cấp 2. D: mốc đối chiếu đã thống nhất; E: kỳ hiện tại. Mức giảm = MAX(0; 1 − hiện tại/đối chiếu).</t>
        </is>
      </c>
    </row>
    <row r="84" ht="72" customHeight="1">
      <c r="A84" s="38" t="inlineStr">
        <is>
          <t>KY08</t>
        </is>
      </c>
      <c r="B84" s="38" t="inlineStr">
        <is>
          <t>Dư địa tiếp cận thêm đúng nhóm mục tiêu</t>
        </is>
      </c>
      <c r="C84" s="130" t="inlineStr">
        <is>
          <t>[Chưa chốt]</t>
        </is>
      </c>
      <c r="D84" s="133" t="n"/>
      <c r="E84" s="134" t="n"/>
      <c r="F84" s="102">
        <f>IF(E84="","",E84)</f>
        <v/>
      </c>
      <c r="G84" s="102" t="inlineStr">
        <is>
          <t>Đã xác nhận</t>
        </is>
      </c>
      <c r="H84" s="38">
        <f>IF(E84="","Chưa nhập dữ liệu",IF(NOT(ISNUMBER(C84)),"Cần cập nhật ngày",IF(I84="","Chờ hồ sơ đối chiếu",IF(E84="Đã xác nhận","Đạt mốc tham chiếu","Cần xem xét thêm"))))</f>
        <v/>
      </c>
      <c r="I84" s="43" t="n"/>
      <c r="J84" s="43" t="inlineStr">
        <is>
          <t>Dùng khi xem xét mở rộng, đặc biệt cấp 2; đối chiếu phạm vi tệp và chất lượng tiếp cận.</t>
        </is>
      </c>
    </row>
    <row r="85" ht="72" customHeight="1">
      <c r="A85" s="38" t="inlineStr">
        <is>
          <t>KY08</t>
        </is>
      </c>
      <c r="B85" s="38" t="inlineStr">
        <is>
          <t>Độ tin cậy của đo lường và trang đích</t>
        </is>
      </c>
      <c r="C85" s="130" t="inlineStr">
        <is>
          <t>[Chưa chốt]</t>
        </is>
      </c>
      <c r="D85" s="133" t="n"/>
      <c r="E85" s="134" t="n"/>
      <c r="F85" s="102">
        <f>IF(E85="","",E85)</f>
        <v/>
      </c>
      <c r="G85" s="102" t="inlineStr">
        <is>
          <t>Đã xác nhận</t>
        </is>
      </c>
      <c r="H85" s="38">
        <f>IF(E85="","Chưa nhập dữ liệu",IF(NOT(ISNUMBER(C85)),"Cần cập nhật ngày",IF(I85="","Chờ hồ sơ đối chiếu",IF(E85="Đã xác nhận","Đạt mốc tham chiếu","Cần xem xét thêm"))))</f>
        <v/>
      </c>
      <c r="I85" s="43" t="n"/>
      <c r="J85" s="43" t="inlineStr">
        <is>
          <t>Đối chiếu nguồn dữ liệu, trang đích, sự kiện và nơi tiếp nhận biểu mẫu.</t>
        </is>
      </c>
    </row>
    <row r="86" ht="72" customHeight="1">
      <c r="A86" s="38" t="inlineStr">
        <is>
          <t>KY08</t>
        </is>
      </c>
      <c r="B86" s="38" t="inlineStr">
        <is>
          <t>Điều kiện tiếp cận lại nhóm đã tương tác</t>
        </is>
      </c>
      <c r="C86" s="130" t="inlineStr">
        <is>
          <t>[Chưa chốt]</t>
        </is>
      </c>
      <c r="D86" s="133" t="n"/>
      <c r="E86" s="134" t="n"/>
      <c r="F86" s="102">
        <f>IF(E86="","",E86)</f>
        <v/>
      </c>
      <c r="G86" s="102" t="inlineStr">
        <is>
          <t>Đã xác nhận / Không áp dụng</t>
        </is>
      </c>
      <c r="H86" s="38">
        <f>IF(E86="","Chưa nhập dữ liệu",IF(E86="Không áp dụng","Không áp dụng",IF(NOT(ISNUMBER(C86)),"Cần cập nhật ngày",IF(I86="","Chờ hồ sơ đối chiếu",IF(E86="Đã xác nhận","Đạt mốc tham chiếu","Cần xem xét thêm")))))</f>
        <v/>
      </c>
      <c r="I86" s="43" t="n"/>
      <c r="J86" s="43" t="inlineStr">
        <is>
          <t>Chỉ áp dụng khi đề xuất tiếp thị lại. Có thể chọn 'Không áp dụng' nếu chưa sử dụng phương án này.</t>
        </is>
      </c>
    </row>
    <row r="87" ht="72" customHeight="1">
      <c r="A87" s="14" t="inlineStr">
        <is>
          <t>KY09</t>
        </is>
      </c>
      <c r="B87" s="14" t="inlineStr">
        <is>
          <t>Đúng nhóm doanh nghiệp và vai trò</t>
        </is>
      </c>
      <c r="C87" s="130" t="inlineStr">
        <is>
          <t>[Chưa chốt]</t>
        </is>
      </c>
      <c r="D87" s="133" t="n"/>
      <c r="E87" s="134" t="n"/>
      <c r="F87" s="102">
        <f>IF(E87="","",E87)</f>
        <v/>
      </c>
      <c r="G87" s="102" t="inlineStr">
        <is>
          <t>Đã xác nhận</t>
        </is>
      </c>
      <c r="H87" s="38">
        <f>IF(E87="","Chưa nhập dữ liệu",IF(NOT(ISNUMBER(C87)),"Cần cập nhật ngày",IF(I87="","Chờ hồ sơ đối chiếu",IF(E87="Đã xác nhận","Đạt mốc tham chiếu","Cần xem xét thêm"))))</f>
        <v/>
      </c>
      <c r="I87" s="43" t="n"/>
      <c r="J87" s="43" t="inlineStr">
        <is>
          <t>Đối chiếu dữ liệu tiếp cận với nhóm doanh nghiệp và vai trò đã thống nhất.</t>
        </is>
      </c>
    </row>
    <row r="88" ht="72" customHeight="1">
      <c r="A88" s="14" t="inlineStr">
        <is>
          <t>KY09</t>
        </is>
      </c>
      <c r="B88" s="14" t="inlineStr">
        <is>
          <t>Lượt nhấp Search liên quan đúng chủ đề</t>
        </is>
      </c>
      <c r="C88" s="130" t="inlineStr">
        <is>
          <t>[Chưa chốt]</t>
        </is>
      </c>
      <c r="D88" s="135" t="n"/>
      <c r="E88" s="135" t="n"/>
      <c r="F88" s="136">
        <f>IF(AND(ISNUMBER(D88),ISNUMBER(E88),D88&gt;0,E88&gt;=0),E88/D88,"")</f>
        <v/>
      </c>
      <c r="G88" s="136">
        <f>'01_Thiet_lap'!$D$18</f>
        <v/>
      </c>
      <c r="H88" s="38">
        <f>IF(COUNT(D88:E88)=0,"Chưa nhập dữ liệu",IF(NOT(ISNUMBER(F88)),"Cần rà soát số liệu",IF(NOT(ISNUMBER(C88)),"Cần cập nhật ngày",IF(E88&gt;D88,"Cần rà soát số liệu",IF(D88&lt;'01_Thiet_lap'!$D$23,"Cần thêm dữ liệu quan sát",IF(I88="","Chờ hồ sơ đối chiếu",IF(F88&gt;=G88,"Đạt mốc tham chiếu","Cần xem xét thêm")))))))</f>
        <v/>
      </c>
      <c r="I88" s="43" t="n"/>
      <c r="J88" s="43" t="inlineStr">
        <is>
          <t>Cột D: tổng nhấp được kiểm tra. Cột E: nhấp đúng chủ đề. Mốc 7/10 là tham chiếu vận hành, không khẳng định độ tin cậy thống kê.</t>
        </is>
      </c>
    </row>
    <row r="89" ht="72" customHeight="1">
      <c r="A89" s="14" t="inlineStr">
        <is>
          <t>KY09</t>
        </is>
      </c>
      <c r="B89" s="14" t="inlineStr">
        <is>
          <t>Duy trì mức quan tâm so với ban đầu</t>
        </is>
      </c>
      <c r="C89" s="130" t="inlineStr">
        <is>
          <t>[Chưa chốt]</t>
        </is>
      </c>
      <c r="D89" s="135" t="n"/>
      <c r="E89" s="135" t="n"/>
      <c r="F89" s="136">
        <f>IF(AND(ISNUMBER(D89),ISNUMBER(E89),D89&gt;0,E89&gt;=0),E89/D89,"")</f>
        <v/>
      </c>
      <c r="G89" s="136">
        <f>'01_Thiet_lap'!$D$19</f>
        <v/>
      </c>
      <c r="H89" s="38">
        <f>IF(COUNT(D89:E89)=0,"Chưa nhập dữ liệu",IF(NOT(ISNUMBER(F89)),"Cần rà soát số liệu",IF(NOT(ISNUMBER(C89)),"Cần cập nhật ngày",IF(OR('01_Thiet_lap'!$D$28="",'01_Thiet_lap'!$D$28="[Chưa thống nhất]"),"Chờ thống nhất chỉ số",IF(I89="","Chờ hồ sơ đối chiếu",IF(F89&gt;=G89,"Đạt mốc tham chiếu","Cần xem xét thêm"))))))</f>
        <v/>
      </c>
      <c r="I89" s="43" t="n"/>
      <c r="J89" s="43" t="inlineStr">
        <is>
          <t>D/E dùng cùng chỉ số quan tâm tại Thiết lập. Kết quả = hiện tại / ban đầu.</t>
        </is>
      </c>
    </row>
    <row r="90" ht="72" customHeight="1">
      <c r="A90" s="14" t="inlineStr">
        <is>
          <t>KY09</t>
        </is>
      </c>
      <c r="B90" s="14" t="inlineStr">
        <is>
          <t>Cải thiện của phương án được ưu tiên</t>
        </is>
      </c>
      <c r="C90" s="130" t="inlineStr">
        <is>
          <t>[Chưa chốt]</t>
        </is>
      </c>
      <c r="D90" s="135" t="n"/>
      <c r="E90" s="135" t="n"/>
      <c r="F90" s="136">
        <f>IF(AND(ISNUMBER(D90),ISNUMBER(E90),D90&gt;0,E90&gt;=0),E90/D90-1,"")</f>
        <v/>
      </c>
      <c r="G90" s="136">
        <f>'01_Thiet_lap'!$D$20</f>
        <v/>
      </c>
      <c r="H90" s="38">
        <f>IF(COUNT(D90:E90)=0,"Chưa nhập dữ liệu",IF(NOT(ISNUMBER(F90)),"Cần rà soát số liệu",IF(NOT(ISNUMBER(C90)),"Cần cập nhật ngày",IF(OR('01_Thiet_lap'!$D$29="",'01_Thiet_lap'!$D$29="[Chưa thống nhất]"),"Chờ thống nhất chỉ số",IF(I90="","Chờ hồ sơ đối chiếu",IF(F90&gt;=G90,"Đạt mốc tham chiếu","Cần xem xét thêm"))))))</f>
        <v/>
      </c>
      <c r="I90" s="43" t="n"/>
      <c r="J90" s="43" t="inlineStr">
        <is>
          <t>D: phương án đối chiếu; E: phương án được ưu tiên. Dùng chỉ số tăng là tốt hơn. Tiêu chí này là một lựa chọn thay thế cho giảm chi phí.</t>
        </is>
      </c>
    </row>
    <row r="91" ht="72" customHeight="1">
      <c r="A91" s="14" t="inlineStr">
        <is>
          <t>KY09</t>
        </is>
      </c>
      <c r="B91" s="14" t="inlineStr">
        <is>
          <t>Giảm chi phí với chất lượng tương đương</t>
        </is>
      </c>
      <c r="C91" s="130" t="inlineStr">
        <is>
          <t>[Chưa chốt]</t>
        </is>
      </c>
      <c r="D91" s="135" t="n"/>
      <c r="E91" s="135" t="n"/>
      <c r="F91" s="136">
        <f>IF(AND(ISNUMBER(D91),ISNUMBER(E91),D91&gt;0,E91&gt;=0),1-E91/D91,"")</f>
        <v/>
      </c>
      <c r="G91" s="136">
        <f>'01_Thiet_lap'!$D$21</f>
        <v/>
      </c>
      <c r="H91" s="38">
        <f>IF(COUNT(D91:E91)=0,"Chưa nhập dữ liệu",IF(NOT(ISNUMBER(F91)),"Cần rà soát số liệu",IF(NOT(ISNUMBER(C91)),"Cần cập nhật ngày",IF(OR('01_Thiet_lap'!$D$30="",'01_Thiet_lap'!$D$30="[Chưa thống nhất]"),"Chờ thống nhất chỉ số",IF(I91="","Chờ hồ sơ đối chiếu",IF(F91&gt;=G91,"Đạt mốc tham chiếu","Cần xem xét thêm"))))))</f>
        <v/>
      </c>
      <c r="I91" s="43" t="n"/>
      <c r="J91" s="43" t="inlineStr">
        <is>
          <t>D/E cùng đơn vị chi phí. Mức giảm = 1 − hiện tại/đối chiếu. Cần kèm bằng chứng chất lượng tương đương.</t>
        </is>
      </c>
    </row>
    <row r="92" ht="72" customHeight="1">
      <c r="A92" s="14" t="inlineStr">
        <is>
          <t>KY09</t>
        </is>
      </c>
      <c r="B92" s="14" t="inlineStr">
        <is>
          <t>Chất lượng ổn định khi tăng phân bổ</t>
        </is>
      </c>
      <c r="C92" s="130" t="inlineStr">
        <is>
          <t>[Chưa chốt]</t>
        </is>
      </c>
      <c r="D92" s="133" t="n"/>
      <c r="E92" s="134" t="n"/>
      <c r="F92" s="102">
        <f>IF(E92="","",E92)</f>
        <v/>
      </c>
      <c r="G92" s="102" t="inlineStr">
        <is>
          <t>Đã xác nhận</t>
        </is>
      </c>
      <c r="H92" s="38">
        <f>IF(E92="","Chưa nhập dữ liệu",IF(NOT(ISNUMBER(C92)),"Cần cập nhật ngày",IF(I92="","Chờ hồ sơ đối chiếu",IF(E92="Đã xác nhận","Đạt mốc tham chiếu","Cần xem xét thêm"))))</f>
        <v/>
      </c>
      <c r="I92" s="43" t="n"/>
      <c r="J92" s="43" t="inlineStr">
        <is>
          <t>Ghi bằng chứng chất lượng được duy trì; không chỉ dựa trên số lượng tương tác.</t>
        </is>
      </c>
    </row>
    <row r="93" ht="72" customHeight="1">
      <c r="A93" s="14" t="inlineStr">
        <is>
          <t>KY09</t>
        </is>
      </c>
      <c r="B93" s="14" t="inlineStr">
        <is>
          <t>Mức suy giảm sau mở rộng cấp 1</t>
        </is>
      </c>
      <c r="C93" s="130" t="inlineStr">
        <is>
          <t>[Chưa chốt]</t>
        </is>
      </c>
      <c r="D93" s="135" t="n"/>
      <c r="E93" s="135" t="n"/>
      <c r="F93" s="136">
        <f>IF(AND(ISNUMBER(D93),ISNUMBER(E93),D93&gt;0,E93&gt;=0),MAX(0,1-E93/D93),"")</f>
        <v/>
      </c>
      <c r="G93" s="136">
        <f>'01_Thiet_lap'!$D$22</f>
        <v/>
      </c>
      <c r="H93" s="38">
        <f>IF(COUNT(D93:E93)=0,"Chưa nhập dữ liệu",IF(NOT(ISNUMBER(F93)),"Cần rà soát số liệu",IF(NOT(ISNUMBER(C93)),"Cần cập nhật ngày",IF(OR('01_Thiet_lap'!$D$28="",'01_Thiet_lap'!$D$28="[Chưa thống nhất]"),"Chờ thống nhất chỉ số",IF(I93="","Chờ hồ sơ đối chiếu",IF(F93&lt;=G93,"Đạt mốc tham chiếu","Cần xem xét thêm"))))))</f>
        <v/>
      </c>
      <c r="I93" s="43" t="n"/>
      <c r="J93" s="43" t="inlineStr">
        <is>
          <t>Dùng khi xét cấp 2. D: mốc đối chiếu đã thống nhất; E: kỳ hiện tại. Mức giảm = MAX(0; 1 − hiện tại/đối chiếu).</t>
        </is>
      </c>
    </row>
    <row r="94" ht="72" customHeight="1">
      <c r="A94" s="14" t="inlineStr">
        <is>
          <t>KY09</t>
        </is>
      </c>
      <c r="B94" s="14" t="inlineStr">
        <is>
          <t>Dư địa tiếp cận thêm đúng nhóm mục tiêu</t>
        </is>
      </c>
      <c r="C94" s="130" t="inlineStr">
        <is>
          <t>[Chưa chốt]</t>
        </is>
      </c>
      <c r="D94" s="133" t="n"/>
      <c r="E94" s="134" t="n"/>
      <c r="F94" s="102">
        <f>IF(E94="","",E94)</f>
        <v/>
      </c>
      <c r="G94" s="102" t="inlineStr">
        <is>
          <t>Đã xác nhận</t>
        </is>
      </c>
      <c r="H94" s="38">
        <f>IF(E94="","Chưa nhập dữ liệu",IF(NOT(ISNUMBER(C94)),"Cần cập nhật ngày",IF(I94="","Chờ hồ sơ đối chiếu",IF(E94="Đã xác nhận","Đạt mốc tham chiếu","Cần xem xét thêm"))))</f>
        <v/>
      </c>
      <c r="I94" s="43" t="n"/>
      <c r="J94" s="43" t="inlineStr">
        <is>
          <t>Dùng khi xem xét mở rộng, đặc biệt cấp 2; đối chiếu phạm vi tệp và chất lượng tiếp cận.</t>
        </is>
      </c>
    </row>
    <row r="95" ht="72" customHeight="1">
      <c r="A95" s="14" t="inlineStr">
        <is>
          <t>KY09</t>
        </is>
      </c>
      <c r="B95" s="14" t="inlineStr">
        <is>
          <t>Độ tin cậy của đo lường và trang đích</t>
        </is>
      </c>
      <c r="C95" s="130" t="inlineStr">
        <is>
          <t>[Chưa chốt]</t>
        </is>
      </c>
      <c r="D95" s="133" t="n"/>
      <c r="E95" s="134" t="n"/>
      <c r="F95" s="102">
        <f>IF(E95="","",E95)</f>
        <v/>
      </c>
      <c r="G95" s="102" t="inlineStr">
        <is>
          <t>Đã xác nhận</t>
        </is>
      </c>
      <c r="H95" s="38">
        <f>IF(E95="","Chưa nhập dữ liệu",IF(NOT(ISNUMBER(C95)),"Cần cập nhật ngày",IF(I95="","Chờ hồ sơ đối chiếu",IF(E95="Đã xác nhận","Đạt mốc tham chiếu","Cần xem xét thêm"))))</f>
        <v/>
      </c>
      <c r="I95" s="43" t="n"/>
      <c r="J95" s="43" t="inlineStr">
        <is>
          <t>Đối chiếu nguồn dữ liệu, trang đích, sự kiện và nơi tiếp nhận biểu mẫu.</t>
        </is>
      </c>
    </row>
    <row r="96" ht="72" customHeight="1">
      <c r="A96" s="14" t="inlineStr">
        <is>
          <t>KY09</t>
        </is>
      </c>
      <c r="B96" s="14" t="inlineStr">
        <is>
          <t>Điều kiện tiếp cận lại nhóm đã tương tác</t>
        </is>
      </c>
      <c r="C96" s="130" t="inlineStr">
        <is>
          <t>[Chưa chốt]</t>
        </is>
      </c>
      <c r="D96" s="133" t="n"/>
      <c r="E96" s="134" t="n"/>
      <c r="F96" s="102">
        <f>IF(E96="","",E96)</f>
        <v/>
      </c>
      <c r="G96" s="102" t="inlineStr">
        <is>
          <t>Đã xác nhận / Không áp dụng</t>
        </is>
      </c>
      <c r="H96" s="38">
        <f>IF(E96="","Chưa nhập dữ liệu",IF(E96="Không áp dụng","Không áp dụng",IF(NOT(ISNUMBER(C96)),"Cần cập nhật ngày",IF(I96="","Chờ hồ sơ đối chiếu",IF(E96="Đã xác nhận","Đạt mốc tham chiếu","Cần xem xét thêm")))))</f>
        <v/>
      </c>
      <c r="I96" s="43" t="n"/>
      <c r="J96" s="43" t="inlineStr">
        <is>
          <t>Chỉ áp dụng khi đề xuất tiếp thị lại. Có thể chọn 'Không áp dụng' nếu chưa sử dụng phương án này.</t>
        </is>
      </c>
    </row>
    <row r="97" ht="72" customHeight="1">
      <c r="A97" s="38" t="inlineStr">
        <is>
          <t>KY10</t>
        </is>
      </c>
      <c r="B97" s="38" t="inlineStr">
        <is>
          <t>Đúng nhóm doanh nghiệp và vai trò</t>
        </is>
      </c>
      <c r="C97" s="130" t="inlineStr">
        <is>
          <t>[Chưa chốt]</t>
        </is>
      </c>
      <c r="D97" s="133" t="n"/>
      <c r="E97" s="134" t="n"/>
      <c r="F97" s="102">
        <f>IF(E97="","",E97)</f>
        <v/>
      </c>
      <c r="G97" s="102" t="inlineStr">
        <is>
          <t>Đã xác nhận</t>
        </is>
      </c>
      <c r="H97" s="38">
        <f>IF(E97="","Chưa nhập dữ liệu",IF(NOT(ISNUMBER(C97)),"Cần cập nhật ngày",IF(I97="","Chờ hồ sơ đối chiếu",IF(E97="Đã xác nhận","Đạt mốc tham chiếu","Cần xem xét thêm"))))</f>
        <v/>
      </c>
      <c r="I97" s="43" t="n"/>
      <c r="J97" s="43" t="inlineStr">
        <is>
          <t>Đối chiếu dữ liệu tiếp cận với nhóm doanh nghiệp và vai trò đã thống nhất.</t>
        </is>
      </c>
    </row>
    <row r="98" ht="72" customHeight="1">
      <c r="A98" s="38" t="inlineStr">
        <is>
          <t>KY10</t>
        </is>
      </c>
      <c r="B98" s="38" t="inlineStr">
        <is>
          <t>Lượt nhấp Search liên quan đúng chủ đề</t>
        </is>
      </c>
      <c r="C98" s="130" t="inlineStr">
        <is>
          <t>[Chưa chốt]</t>
        </is>
      </c>
      <c r="D98" s="135" t="n"/>
      <c r="E98" s="135" t="n"/>
      <c r="F98" s="136">
        <f>IF(AND(ISNUMBER(D98),ISNUMBER(E98),D98&gt;0,E98&gt;=0),E98/D98,"")</f>
        <v/>
      </c>
      <c r="G98" s="136">
        <f>'01_Thiet_lap'!$D$18</f>
        <v/>
      </c>
      <c r="H98" s="38">
        <f>IF(COUNT(D98:E98)=0,"Chưa nhập dữ liệu",IF(NOT(ISNUMBER(F98)),"Cần rà soát số liệu",IF(NOT(ISNUMBER(C98)),"Cần cập nhật ngày",IF(E98&gt;D98,"Cần rà soát số liệu",IF(D98&lt;'01_Thiet_lap'!$D$23,"Cần thêm dữ liệu quan sát",IF(I98="","Chờ hồ sơ đối chiếu",IF(F98&gt;=G98,"Đạt mốc tham chiếu","Cần xem xét thêm")))))))</f>
        <v/>
      </c>
      <c r="I98" s="43" t="n"/>
      <c r="J98" s="43" t="inlineStr">
        <is>
          <t>Cột D: tổng nhấp được kiểm tra. Cột E: nhấp đúng chủ đề. Mốc 7/10 là tham chiếu vận hành, không khẳng định độ tin cậy thống kê.</t>
        </is>
      </c>
    </row>
    <row r="99" ht="72" customHeight="1">
      <c r="A99" s="38" t="inlineStr">
        <is>
          <t>KY10</t>
        </is>
      </c>
      <c r="B99" s="38" t="inlineStr">
        <is>
          <t>Duy trì mức quan tâm so với ban đầu</t>
        </is>
      </c>
      <c r="C99" s="130" t="inlineStr">
        <is>
          <t>[Chưa chốt]</t>
        </is>
      </c>
      <c r="D99" s="135" t="n"/>
      <c r="E99" s="135" t="n"/>
      <c r="F99" s="136">
        <f>IF(AND(ISNUMBER(D99),ISNUMBER(E99),D99&gt;0,E99&gt;=0),E99/D99,"")</f>
        <v/>
      </c>
      <c r="G99" s="136">
        <f>'01_Thiet_lap'!$D$19</f>
        <v/>
      </c>
      <c r="H99" s="38">
        <f>IF(COUNT(D99:E99)=0,"Chưa nhập dữ liệu",IF(NOT(ISNUMBER(F99)),"Cần rà soát số liệu",IF(NOT(ISNUMBER(C99)),"Cần cập nhật ngày",IF(OR('01_Thiet_lap'!$D$28="",'01_Thiet_lap'!$D$28="[Chưa thống nhất]"),"Chờ thống nhất chỉ số",IF(I99="","Chờ hồ sơ đối chiếu",IF(F99&gt;=G99,"Đạt mốc tham chiếu","Cần xem xét thêm"))))))</f>
        <v/>
      </c>
      <c r="I99" s="43" t="n"/>
      <c r="J99" s="43" t="inlineStr">
        <is>
          <t>D/E dùng cùng chỉ số quan tâm tại Thiết lập. Kết quả = hiện tại / ban đầu.</t>
        </is>
      </c>
    </row>
    <row r="100" ht="72" customHeight="1">
      <c r="A100" s="38" t="inlineStr">
        <is>
          <t>KY10</t>
        </is>
      </c>
      <c r="B100" s="38" t="inlineStr">
        <is>
          <t>Cải thiện của phương án được ưu tiên</t>
        </is>
      </c>
      <c r="C100" s="130" t="inlineStr">
        <is>
          <t>[Chưa chốt]</t>
        </is>
      </c>
      <c r="D100" s="135" t="n"/>
      <c r="E100" s="135" t="n"/>
      <c r="F100" s="136">
        <f>IF(AND(ISNUMBER(D100),ISNUMBER(E100),D100&gt;0,E100&gt;=0),E100/D100-1,"")</f>
        <v/>
      </c>
      <c r="G100" s="136">
        <f>'01_Thiet_lap'!$D$20</f>
        <v/>
      </c>
      <c r="H100" s="38">
        <f>IF(COUNT(D100:E100)=0,"Chưa nhập dữ liệu",IF(NOT(ISNUMBER(F100)),"Cần rà soát số liệu",IF(NOT(ISNUMBER(C100)),"Cần cập nhật ngày",IF(OR('01_Thiet_lap'!$D$29="",'01_Thiet_lap'!$D$29="[Chưa thống nhất]"),"Chờ thống nhất chỉ số",IF(I100="","Chờ hồ sơ đối chiếu",IF(F100&gt;=G100,"Đạt mốc tham chiếu","Cần xem xét thêm"))))))</f>
        <v/>
      </c>
      <c r="I100" s="43" t="n"/>
      <c r="J100" s="43" t="inlineStr">
        <is>
          <t>D: phương án đối chiếu; E: phương án được ưu tiên. Dùng chỉ số tăng là tốt hơn. Tiêu chí này là một lựa chọn thay thế cho giảm chi phí.</t>
        </is>
      </c>
    </row>
    <row r="101" ht="72" customHeight="1">
      <c r="A101" s="38" t="inlineStr">
        <is>
          <t>KY10</t>
        </is>
      </c>
      <c r="B101" s="38" t="inlineStr">
        <is>
          <t>Giảm chi phí với chất lượng tương đương</t>
        </is>
      </c>
      <c r="C101" s="130" t="inlineStr">
        <is>
          <t>[Chưa chốt]</t>
        </is>
      </c>
      <c r="D101" s="135" t="n"/>
      <c r="E101" s="135" t="n"/>
      <c r="F101" s="136">
        <f>IF(AND(ISNUMBER(D101),ISNUMBER(E101),D101&gt;0,E101&gt;=0),1-E101/D101,"")</f>
        <v/>
      </c>
      <c r="G101" s="136">
        <f>'01_Thiet_lap'!$D$21</f>
        <v/>
      </c>
      <c r="H101" s="38">
        <f>IF(COUNT(D101:E101)=0,"Chưa nhập dữ liệu",IF(NOT(ISNUMBER(F101)),"Cần rà soát số liệu",IF(NOT(ISNUMBER(C101)),"Cần cập nhật ngày",IF(OR('01_Thiet_lap'!$D$30="",'01_Thiet_lap'!$D$30="[Chưa thống nhất]"),"Chờ thống nhất chỉ số",IF(I101="","Chờ hồ sơ đối chiếu",IF(F101&gt;=G101,"Đạt mốc tham chiếu","Cần xem xét thêm"))))))</f>
        <v/>
      </c>
      <c r="I101" s="43" t="n"/>
      <c r="J101" s="43" t="inlineStr">
        <is>
          <t>D/E cùng đơn vị chi phí. Mức giảm = 1 − hiện tại/đối chiếu. Cần kèm bằng chứng chất lượng tương đương.</t>
        </is>
      </c>
    </row>
    <row r="102" ht="72" customHeight="1">
      <c r="A102" s="38" t="inlineStr">
        <is>
          <t>KY10</t>
        </is>
      </c>
      <c r="B102" s="38" t="inlineStr">
        <is>
          <t>Chất lượng ổn định khi tăng phân bổ</t>
        </is>
      </c>
      <c r="C102" s="130" t="inlineStr">
        <is>
          <t>[Chưa chốt]</t>
        </is>
      </c>
      <c r="D102" s="133" t="n"/>
      <c r="E102" s="134" t="n"/>
      <c r="F102" s="102">
        <f>IF(E102="","",E102)</f>
        <v/>
      </c>
      <c r="G102" s="102" t="inlineStr">
        <is>
          <t>Đã xác nhận</t>
        </is>
      </c>
      <c r="H102" s="38">
        <f>IF(E102="","Chưa nhập dữ liệu",IF(NOT(ISNUMBER(C102)),"Cần cập nhật ngày",IF(I102="","Chờ hồ sơ đối chiếu",IF(E102="Đã xác nhận","Đạt mốc tham chiếu","Cần xem xét thêm"))))</f>
        <v/>
      </c>
      <c r="I102" s="43" t="n"/>
      <c r="J102" s="43" t="inlineStr">
        <is>
          <t>Ghi bằng chứng chất lượng được duy trì; không chỉ dựa trên số lượng tương tác.</t>
        </is>
      </c>
    </row>
    <row r="103" ht="72" customHeight="1">
      <c r="A103" s="38" t="inlineStr">
        <is>
          <t>KY10</t>
        </is>
      </c>
      <c r="B103" s="38" t="inlineStr">
        <is>
          <t>Mức suy giảm sau mở rộng cấp 1</t>
        </is>
      </c>
      <c r="C103" s="130" t="inlineStr">
        <is>
          <t>[Chưa chốt]</t>
        </is>
      </c>
      <c r="D103" s="135" t="n"/>
      <c r="E103" s="135" t="n"/>
      <c r="F103" s="136">
        <f>IF(AND(ISNUMBER(D103),ISNUMBER(E103),D103&gt;0,E103&gt;=0),MAX(0,1-E103/D103),"")</f>
        <v/>
      </c>
      <c r="G103" s="136">
        <f>'01_Thiet_lap'!$D$22</f>
        <v/>
      </c>
      <c r="H103" s="38">
        <f>IF(COUNT(D103:E103)=0,"Chưa nhập dữ liệu",IF(NOT(ISNUMBER(F103)),"Cần rà soát số liệu",IF(NOT(ISNUMBER(C103)),"Cần cập nhật ngày",IF(OR('01_Thiet_lap'!$D$28="",'01_Thiet_lap'!$D$28="[Chưa thống nhất]"),"Chờ thống nhất chỉ số",IF(I103="","Chờ hồ sơ đối chiếu",IF(F103&lt;=G103,"Đạt mốc tham chiếu","Cần xem xét thêm"))))))</f>
        <v/>
      </c>
      <c r="I103" s="43" t="n"/>
      <c r="J103" s="43" t="inlineStr">
        <is>
          <t>Dùng khi xét cấp 2. D: mốc đối chiếu đã thống nhất; E: kỳ hiện tại. Mức giảm = MAX(0; 1 − hiện tại/đối chiếu).</t>
        </is>
      </c>
    </row>
    <row r="104" ht="72" customHeight="1">
      <c r="A104" s="38" t="inlineStr">
        <is>
          <t>KY10</t>
        </is>
      </c>
      <c r="B104" s="38" t="inlineStr">
        <is>
          <t>Dư địa tiếp cận thêm đúng nhóm mục tiêu</t>
        </is>
      </c>
      <c r="C104" s="130" t="inlineStr">
        <is>
          <t>[Chưa chốt]</t>
        </is>
      </c>
      <c r="D104" s="133" t="n"/>
      <c r="E104" s="134" t="n"/>
      <c r="F104" s="102">
        <f>IF(E104="","",E104)</f>
        <v/>
      </c>
      <c r="G104" s="102" t="inlineStr">
        <is>
          <t>Đã xác nhận</t>
        </is>
      </c>
      <c r="H104" s="38">
        <f>IF(E104="","Chưa nhập dữ liệu",IF(NOT(ISNUMBER(C104)),"Cần cập nhật ngày",IF(I104="","Chờ hồ sơ đối chiếu",IF(E104="Đã xác nhận","Đạt mốc tham chiếu","Cần xem xét thêm"))))</f>
        <v/>
      </c>
      <c r="I104" s="43" t="n"/>
      <c r="J104" s="43" t="inlineStr">
        <is>
          <t>Dùng khi xem xét mở rộng, đặc biệt cấp 2; đối chiếu phạm vi tệp và chất lượng tiếp cận.</t>
        </is>
      </c>
    </row>
    <row r="105" ht="72" customHeight="1">
      <c r="A105" s="38" t="inlineStr">
        <is>
          <t>KY10</t>
        </is>
      </c>
      <c r="B105" s="38" t="inlineStr">
        <is>
          <t>Độ tin cậy của đo lường và trang đích</t>
        </is>
      </c>
      <c r="C105" s="130" t="inlineStr">
        <is>
          <t>[Chưa chốt]</t>
        </is>
      </c>
      <c r="D105" s="133" t="n"/>
      <c r="E105" s="134" t="n"/>
      <c r="F105" s="102">
        <f>IF(E105="","",E105)</f>
        <v/>
      </c>
      <c r="G105" s="102" t="inlineStr">
        <is>
          <t>Đã xác nhận</t>
        </is>
      </c>
      <c r="H105" s="38">
        <f>IF(E105="","Chưa nhập dữ liệu",IF(NOT(ISNUMBER(C105)),"Cần cập nhật ngày",IF(I105="","Chờ hồ sơ đối chiếu",IF(E105="Đã xác nhận","Đạt mốc tham chiếu","Cần xem xét thêm"))))</f>
        <v/>
      </c>
      <c r="I105" s="43" t="n"/>
      <c r="J105" s="43" t="inlineStr">
        <is>
          <t>Đối chiếu nguồn dữ liệu, trang đích, sự kiện và nơi tiếp nhận biểu mẫu.</t>
        </is>
      </c>
    </row>
    <row r="106" ht="72" customHeight="1">
      <c r="A106" s="38" t="inlineStr">
        <is>
          <t>KY10</t>
        </is>
      </c>
      <c r="B106" s="38" t="inlineStr">
        <is>
          <t>Điều kiện tiếp cận lại nhóm đã tương tác</t>
        </is>
      </c>
      <c r="C106" s="130" t="inlineStr">
        <is>
          <t>[Chưa chốt]</t>
        </is>
      </c>
      <c r="D106" s="133" t="n"/>
      <c r="E106" s="134" t="n"/>
      <c r="F106" s="102">
        <f>IF(E106="","",E106)</f>
        <v/>
      </c>
      <c r="G106" s="102" t="inlineStr">
        <is>
          <t>Đã xác nhận / Không áp dụng</t>
        </is>
      </c>
      <c r="H106" s="38">
        <f>IF(E106="","Chưa nhập dữ liệu",IF(E106="Không áp dụng","Không áp dụng",IF(NOT(ISNUMBER(C106)),"Cần cập nhật ngày",IF(I106="","Chờ hồ sơ đối chiếu",IF(E106="Đã xác nhận","Đạt mốc tham chiếu","Cần xem xét thêm")))))</f>
        <v/>
      </c>
      <c r="I106" s="43" t="n"/>
      <c r="J106" s="43" t="inlineStr">
        <is>
          <t>Chỉ áp dụng khi đề xuất tiếp thị lại. Có thể chọn 'Không áp dụng' nếu chưa sử dụng phương án này.</t>
        </is>
      </c>
    </row>
    <row r="107" ht="72" customHeight="1">
      <c r="A107" s="14" t="inlineStr">
        <is>
          <t>KY11</t>
        </is>
      </c>
      <c r="B107" s="14" t="inlineStr">
        <is>
          <t>Đúng nhóm doanh nghiệp và vai trò</t>
        </is>
      </c>
      <c r="C107" s="130" t="inlineStr">
        <is>
          <t>[Chưa chốt]</t>
        </is>
      </c>
      <c r="D107" s="133" t="n"/>
      <c r="E107" s="134" t="n"/>
      <c r="F107" s="102">
        <f>IF(E107="","",E107)</f>
        <v/>
      </c>
      <c r="G107" s="102" t="inlineStr">
        <is>
          <t>Đã xác nhận</t>
        </is>
      </c>
      <c r="H107" s="38">
        <f>IF(E107="","Chưa nhập dữ liệu",IF(NOT(ISNUMBER(C107)),"Cần cập nhật ngày",IF(I107="","Chờ hồ sơ đối chiếu",IF(E107="Đã xác nhận","Đạt mốc tham chiếu","Cần xem xét thêm"))))</f>
        <v/>
      </c>
      <c r="I107" s="43" t="n"/>
      <c r="J107" s="43" t="inlineStr">
        <is>
          <t>Đối chiếu dữ liệu tiếp cận với nhóm doanh nghiệp và vai trò đã thống nhất.</t>
        </is>
      </c>
    </row>
    <row r="108" ht="72" customHeight="1">
      <c r="A108" s="14" t="inlineStr">
        <is>
          <t>KY11</t>
        </is>
      </c>
      <c r="B108" s="14" t="inlineStr">
        <is>
          <t>Lượt nhấp Search liên quan đúng chủ đề</t>
        </is>
      </c>
      <c r="C108" s="130" t="inlineStr">
        <is>
          <t>[Chưa chốt]</t>
        </is>
      </c>
      <c r="D108" s="135" t="n"/>
      <c r="E108" s="135" t="n"/>
      <c r="F108" s="136">
        <f>IF(AND(ISNUMBER(D108),ISNUMBER(E108),D108&gt;0,E108&gt;=0),E108/D108,"")</f>
        <v/>
      </c>
      <c r="G108" s="136">
        <f>'01_Thiet_lap'!$D$18</f>
        <v/>
      </c>
      <c r="H108" s="38">
        <f>IF(COUNT(D108:E108)=0,"Chưa nhập dữ liệu",IF(NOT(ISNUMBER(F108)),"Cần rà soát số liệu",IF(NOT(ISNUMBER(C108)),"Cần cập nhật ngày",IF(E108&gt;D108,"Cần rà soát số liệu",IF(D108&lt;'01_Thiet_lap'!$D$23,"Cần thêm dữ liệu quan sát",IF(I108="","Chờ hồ sơ đối chiếu",IF(F108&gt;=G108,"Đạt mốc tham chiếu","Cần xem xét thêm")))))))</f>
        <v/>
      </c>
      <c r="I108" s="43" t="n"/>
      <c r="J108" s="43" t="inlineStr">
        <is>
          <t>Cột D: tổng nhấp được kiểm tra. Cột E: nhấp đúng chủ đề. Mốc 7/10 là tham chiếu vận hành, không khẳng định độ tin cậy thống kê.</t>
        </is>
      </c>
    </row>
    <row r="109" ht="72" customHeight="1">
      <c r="A109" s="14" t="inlineStr">
        <is>
          <t>KY11</t>
        </is>
      </c>
      <c r="B109" s="14" t="inlineStr">
        <is>
          <t>Duy trì mức quan tâm so với ban đầu</t>
        </is>
      </c>
      <c r="C109" s="130" t="inlineStr">
        <is>
          <t>[Chưa chốt]</t>
        </is>
      </c>
      <c r="D109" s="135" t="n"/>
      <c r="E109" s="135" t="n"/>
      <c r="F109" s="136">
        <f>IF(AND(ISNUMBER(D109),ISNUMBER(E109),D109&gt;0,E109&gt;=0),E109/D109,"")</f>
        <v/>
      </c>
      <c r="G109" s="136">
        <f>'01_Thiet_lap'!$D$19</f>
        <v/>
      </c>
      <c r="H109" s="38">
        <f>IF(COUNT(D109:E109)=0,"Chưa nhập dữ liệu",IF(NOT(ISNUMBER(F109)),"Cần rà soát số liệu",IF(NOT(ISNUMBER(C109)),"Cần cập nhật ngày",IF(OR('01_Thiet_lap'!$D$28="",'01_Thiet_lap'!$D$28="[Chưa thống nhất]"),"Chờ thống nhất chỉ số",IF(I109="","Chờ hồ sơ đối chiếu",IF(F109&gt;=G109,"Đạt mốc tham chiếu","Cần xem xét thêm"))))))</f>
        <v/>
      </c>
      <c r="I109" s="43" t="n"/>
      <c r="J109" s="43" t="inlineStr">
        <is>
          <t>D/E dùng cùng chỉ số quan tâm tại Thiết lập. Kết quả = hiện tại / ban đầu.</t>
        </is>
      </c>
    </row>
    <row r="110" ht="72" customHeight="1">
      <c r="A110" s="14" t="inlineStr">
        <is>
          <t>KY11</t>
        </is>
      </c>
      <c r="B110" s="14" t="inlineStr">
        <is>
          <t>Cải thiện của phương án được ưu tiên</t>
        </is>
      </c>
      <c r="C110" s="130" t="inlineStr">
        <is>
          <t>[Chưa chốt]</t>
        </is>
      </c>
      <c r="D110" s="135" t="n"/>
      <c r="E110" s="135" t="n"/>
      <c r="F110" s="136">
        <f>IF(AND(ISNUMBER(D110),ISNUMBER(E110),D110&gt;0,E110&gt;=0),E110/D110-1,"")</f>
        <v/>
      </c>
      <c r="G110" s="136">
        <f>'01_Thiet_lap'!$D$20</f>
        <v/>
      </c>
      <c r="H110" s="38">
        <f>IF(COUNT(D110:E110)=0,"Chưa nhập dữ liệu",IF(NOT(ISNUMBER(F110)),"Cần rà soát số liệu",IF(NOT(ISNUMBER(C110)),"Cần cập nhật ngày",IF(OR('01_Thiet_lap'!$D$29="",'01_Thiet_lap'!$D$29="[Chưa thống nhất]"),"Chờ thống nhất chỉ số",IF(I110="","Chờ hồ sơ đối chiếu",IF(F110&gt;=G110,"Đạt mốc tham chiếu","Cần xem xét thêm"))))))</f>
        <v/>
      </c>
      <c r="I110" s="43" t="n"/>
      <c r="J110" s="43" t="inlineStr">
        <is>
          <t>D: phương án đối chiếu; E: phương án được ưu tiên. Dùng chỉ số tăng là tốt hơn. Tiêu chí này là một lựa chọn thay thế cho giảm chi phí.</t>
        </is>
      </c>
    </row>
    <row r="111" ht="72" customHeight="1">
      <c r="A111" s="14" t="inlineStr">
        <is>
          <t>KY11</t>
        </is>
      </c>
      <c r="B111" s="14" t="inlineStr">
        <is>
          <t>Giảm chi phí với chất lượng tương đương</t>
        </is>
      </c>
      <c r="C111" s="130" t="inlineStr">
        <is>
          <t>[Chưa chốt]</t>
        </is>
      </c>
      <c r="D111" s="135" t="n"/>
      <c r="E111" s="135" t="n"/>
      <c r="F111" s="136">
        <f>IF(AND(ISNUMBER(D111),ISNUMBER(E111),D111&gt;0,E111&gt;=0),1-E111/D111,"")</f>
        <v/>
      </c>
      <c r="G111" s="136">
        <f>'01_Thiet_lap'!$D$21</f>
        <v/>
      </c>
      <c r="H111" s="38">
        <f>IF(COUNT(D111:E111)=0,"Chưa nhập dữ liệu",IF(NOT(ISNUMBER(F111)),"Cần rà soát số liệu",IF(NOT(ISNUMBER(C111)),"Cần cập nhật ngày",IF(OR('01_Thiet_lap'!$D$30="",'01_Thiet_lap'!$D$30="[Chưa thống nhất]"),"Chờ thống nhất chỉ số",IF(I111="","Chờ hồ sơ đối chiếu",IF(F111&gt;=G111,"Đạt mốc tham chiếu","Cần xem xét thêm"))))))</f>
        <v/>
      </c>
      <c r="I111" s="43" t="n"/>
      <c r="J111" s="43" t="inlineStr">
        <is>
          <t>D/E cùng đơn vị chi phí. Mức giảm = 1 − hiện tại/đối chiếu. Cần kèm bằng chứng chất lượng tương đương.</t>
        </is>
      </c>
    </row>
    <row r="112" ht="72" customHeight="1">
      <c r="A112" s="14" t="inlineStr">
        <is>
          <t>KY11</t>
        </is>
      </c>
      <c r="B112" s="14" t="inlineStr">
        <is>
          <t>Chất lượng ổn định khi tăng phân bổ</t>
        </is>
      </c>
      <c r="C112" s="130" t="inlineStr">
        <is>
          <t>[Chưa chốt]</t>
        </is>
      </c>
      <c r="D112" s="133" t="n"/>
      <c r="E112" s="134" t="n"/>
      <c r="F112" s="102">
        <f>IF(E112="","",E112)</f>
        <v/>
      </c>
      <c r="G112" s="102" t="inlineStr">
        <is>
          <t>Đã xác nhận</t>
        </is>
      </c>
      <c r="H112" s="38">
        <f>IF(E112="","Chưa nhập dữ liệu",IF(NOT(ISNUMBER(C112)),"Cần cập nhật ngày",IF(I112="","Chờ hồ sơ đối chiếu",IF(E112="Đã xác nhận","Đạt mốc tham chiếu","Cần xem xét thêm"))))</f>
        <v/>
      </c>
      <c r="I112" s="43" t="n"/>
      <c r="J112" s="43" t="inlineStr">
        <is>
          <t>Ghi bằng chứng chất lượng được duy trì; không chỉ dựa trên số lượng tương tác.</t>
        </is>
      </c>
    </row>
    <row r="113" ht="72" customHeight="1">
      <c r="A113" s="14" t="inlineStr">
        <is>
          <t>KY11</t>
        </is>
      </c>
      <c r="B113" s="14" t="inlineStr">
        <is>
          <t>Mức suy giảm sau mở rộng cấp 1</t>
        </is>
      </c>
      <c r="C113" s="130" t="inlineStr">
        <is>
          <t>[Chưa chốt]</t>
        </is>
      </c>
      <c r="D113" s="135" t="n"/>
      <c r="E113" s="135" t="n"/>
      <c r="F113" s="136">
        <f>IF(AND(ISNUMBER(D113),ISNUMBER(E113),D113&gt;0,E113&gt;=0),MAX(0,1-E113/D113),"")</f>
        <v/>
      </c>
      <c r="G113" s="136">
        <f>'01_Thiet_lap'!$D$22</f>
        <v/>
      </c>
      <c r="H113" s="38">
        <f>IF(COUNT(D113:E113)=0,"Chưa nhập dữ liệu",IF(NOT(ISNUMBER(F113)),"Cần rà soát số liệu",IF(NOT(ISNUMBER(C113)),"Cần cập nhật ngày",IF(OR('01_Thiet_lap'!$D$28="",'01_Thiet_lap'!$D$28="[Chưa thống nhất]"),"Chờ thống nhất chỉ số",IF(I113="","Chờ hồ sơ đối chiếu",IF(F113&lt;=G113,"Đạt mốc tham chiếu","Cần xem xét thêm"))))))</f>
        <v/>
      </c>
      <c r="I113" s="43" t="n"/>
      <c r="J113" s="43" t="inlineStr">
        <is>
          <t>Dùng khi xét cấp 2. D: mốc đối chiếu đã thống nhất; E: kỳ hiện tại. Mức giảm = MAX(0; 1 − hiện tại/đối chiếu).</t>
        </is>
      </c>
    </row>
    <row r="114" ht="72" customHeight="1">
      <c r="A114" s="14" t="inlineStr">
        <is>
          <t>KY11</t>
        </is>
      </c>
      <c r="B114" s="14" t="inlineStr">
        <is>
          <t>Dư địa tiếp cận thêm đúng nhóm mục tiêu</t>
        </is>
      </c>
      <c r="C114" s="130" t="inlineStr">
        <is>
          <t>[Chưa chốt]</t>
        </is>
      </c>
      <c r="D114" s="133" t="n"/>
      <c r="E114" s="134" t="n"/>
      <c r="F114" s="102">
        <f>IF(E114="","",E114)</f>
        <v/>
      </c>
      <c r="G114" s="102" t="inlineStr">
        <is>
          <t>Đã xác nhận</t>
        </is>
      </c>
      <c r="H114" s="38">
        <f>IF(E114="","Chưa nhập dữ liệu",IF(NOT(ISNUMBER(C114)),"Cần cập nhật ngày",IF(I114="","Chờ hồ sơ đối chiếu",IF(E114="Đã xác nhận","Đạt mốc tham chiếu","Cần xem xét thêm"))))</f>
        <v/>
      </c>
      <c r="I114" s="43" t="n"/>
      <c r="J114" s="43" t="inlineStr">
        <is>
          <t>Dùng khi xem xét mở rộng, đặc biệt cấp 2; đối chiếu phạm vi tệp và chất lượng tiếp cận.</t>
        </is>
      </c>
    </row>
    <row r="115" ht="72" customHeight="1">
      <c r="A115" s="14" t="inlineStr">
        <is>
          <t>KY11</t>
        </is>
      </c>
      <c r="B115" s="14" t="inlineStr">
        <is>
          <t>Độ tin cậy của đo lường và trang đích</t>
        </is>
      </c>
      <c r="C115" s="130" t="inlineStr">
        <is>
          <t>[Chưa chốt]</t>
        </is>
      </c>
      <c r="D115" s="133" t="n"/>
      <c r="E115" s="134" t="n"/>
      <c r="F115" s="102">
        <f>IF(E115="","",E115)</f>
        <v/>
      </c>
      <c r="G115" s="102" t="inlineStr">
        <is>
          <t>Đã xác nhận</t>
        </is>
      </c>
      <c r="H115" s="38">
        <f>IF(E115="","Chưa nhập dữ liệu",IF(NOT(ISNUMBER(C115)),"Cần cập nhật ngày",IF(I115="","Chờ hồ sơ đối chiếu",IF(E115="Đã xác nhận","Đạt mốc tham chiếu","Cần xem xét thêm"))))</f>
        <v/>
      </c>
      <c r="I115" s="43" t="n"/>
      <c r="J115" s="43" t="inlineStr">
        <is>
          <t>Đối chiếu nguồn dữ liệu, trang đích, sự kiện và nơi tiếp nhận biểu mẫu.</t>
        </is>
      </c>
    </row>
    <row r="116" ht="72" customHeight="1">
      <c r="A116" s="14" t="inlineStr">
        <is>
          <t>KY11</t>
        </is>
      </c>
      <c r="B116" s="14" t="inlineStr">
        <is>
          <t>Điều kiện tiếp cận lại nhóm đã tương tác</t>
        </is>
      </c>
      <c r="C116" s="130" t="inlineStr">
        <is>
          <t>[Chưa chốt]</t>
        </is>
      </c>
      <c r="D116" s="133" t="n"/>
      <c r="E116" s="134" t="n"/>
      <c r="F116" s="102">
        <f>IF(E116="","",E116)</f>
        <v/>
      </c>
      <c r="G116" s="102" t="inlineStr">
        <is>
          <t>Đã xác nhận / Không áp dụng</t>
        </is>
      </c>
      <c r="H116" s="38">
        <f>IF(E116="","Chưa nhập dữ liệu",IF(E116="Không áp dụng","Không áp dụng",IF(NOT(ISNUMBER(C116)),"Cần cập nhật ngày",IF(I116="","Chờ hồ sơ đối chiếu",IF(E116="Đã xác nhận","Đạt mốc tham chiếu","Cần xem xét thêm")))))</f>
        <v/>
      </c>
      <c r="I116" s="43" t="n"/>
      <c r="J116" s="43" t="inlineStr">
        <is>
          <t>Chỉ áp dụng khi đề xuất tiếp thị lại. Có thể chọn 'Không áp dụng' nếu chưa sử dụng phương án này.</t>
        </is>
      </c>
    </row>
    <row r="117" ht="72" customHeight="1">
      <c r="A117" s="38" t="inlineStr">
        <is>
          <t>KY12</t>
        </is>
      </c>
      <c r="B117" s="38" t="inlineStr">
        <is>
          <t>Đúng nhóm doanh nghiệp và vai trò</t>
        </is>
      </c>
      <c r="C117" s="130" t="inlineStr">
        <is>
          <t>[Chưa chốt]</t>
        </is>
      </c>
      <c r="D117" s="133" t="n"/>
      <c r="E117" s="134" t="n"/>
      <c r="F117" s="102">
        <f>IF(E117="","",E117)</f>
        <v/>
      </c>
      <c r="G117" s="102" t="inlineStr">
        <is>
          <t>Đã xác nhận</t>
        </is>
      </c>
      <c r="H117" s="38">
        <f>IF(E117="","Chưa nhập dữ liệu",IF(NOT(ISNUMBER(C117)),"Cần cập nhật ngày",IF(I117="","Chờ hồ sơ đối chiếu",IF(E117="Đã xác nhận","Đạt mốc tham chiếu","Cần xem xét thêm"))))</f>
        <v/>
      </c>
      <c r="I117" s="43" t="n"/>
      <c r="J117" s="43" t="inlineStr">
        <is>
          <t>Đối chiếu dữ liệu tiếp cận với nhóm doanh nghiệp và vai trò đã thống nhất.</t>
        </is>
      </c>
    </row>
    <row r="118" ht="72" customHeight="1">
      <c r="A118" s="38" t="inlineStr">
        <is>
          <t>KY12</t>
        </is>
      </c>
      <c r="B118" s="38" t="inlineStr">
        <is>
          <t>Lượt nhấp Search liên quan đúng chủ đề</t>
        </is>
      </c>
      <c r="C118" s="130" t="inlineStr">
        <is>
          <t>[Chưa chốt]</t>
        </is>
      </c>
      <c r="D118" s="135" t="n"/>
      <c r="E118" s="135" t="n"/>
      <c r="F118" s="136">
        <f>IF(AND(ISNUMBER(D118),ISNUMBER(E118),D118&gt;0,E118&gt;=0),E118/D118,"")</f>
        <v/>
      </c>
      <c r="G118" s="136">
        <f>'01_Thiet_lap'!$D$18</f>
        <v/>
      </c>
      <c r="H118" s="38">
        <f>IF(COUNT(D118:E118)=0,"Chưa nhập dữ liệu",IF(NOT(ISNUMBER(F118)),"Cần rà soát số liệu",IF(NOT(ISNUMBER(C118)),"Cần cập nhật ngày",IF(E118&gt;D118,"Cần rà soát số liệu",IF(D118&lt;'01_Thiet_lap'!$D$23,"Cần thêm dữ liệu quan sát",IF(I118="","Chờ hồ sơ đối chiếu",IF(F118&gt;=G118,"Đạt mốc tham chiếu","Cần xem xét thêm")))))))</f>
        <v/>
      </c>
      <c r="I118" s="43" t="n"/>
      <c r="J118" s="43" t="inlineStr">
        <is>
          <t>Cột D: tổng nhấp được kiểm tra. Cột E: nhấp đúng chủ đề. Mốc 7/10 là tham chiếu vận hành, không khẳng định độ tin cậy thống kê.</t>
        </is>
      </c>
    </row>
    <row r="119" ht="72" customHeight="1">
      <c r="A119" s="38" t="inlineStr">
        <is>
          <t>KY12</t>
        </is>
      </c>
      <c r="B119" s="38" t="inlineStr">
        <is>
          <t>Duy trì mức quan tâm so với ban đầu</t>
        </is>
      </c>
      <c r="C119" s="130" t="inlineStr">
        <is>
          <t>[Chưa chốt]</t>
        </is>
      </c>
      <c r="D119" s="135" t="n"/>
      <c r="E119" s="135" t="n"/>
      <c r="F119" s="136">
        <f>IF(AND(ISNUMBER(D119),ISNUMBER(E119),D119&gt;0,E119&gt;=0),E119/D119,"")</f>
        <v/>
      </c>
      <c r="G119" s="136">
        <f>'01_Thiet_lap'!$D$19</f>
        <v/>
      </c>
      <c r="H119" s="38">
        <f>IF(COUNT(D119:E119)=0,"Chưa nhập dữ liệu",IF(NOT(ISNUMBER(F119)),"Cần rà soát số liệu",IF(NOT(ISNUMBER(C119)),"Cần cập nhật ngày",IF(OR('01_Thiet_lap'!$D$28="",'01_Thiet_lap'!$D$28="[Chưa thống nhất]"),"Chờ thống nhất chỉ số",IF(I119="","Chờ hồ sơ đối chiếu",IF(F119&gt;=G119,"Đạt mốc tham chiếu","Cần xem xét thêm"))))))</f>
        <v/>
      </c>
      <c r="I119" s="43" t="n"/>
      <c r="J119" s="43" t="inlineStr">
        <is>
          <t>D/E dùng cùng chỉ số quan tâm tại Thiết lập. Kết quả = hiện tại / ban đầu.</t>
        </is>
      </c>
    </row>
    <row r="120" ht="72" customHeight="1">
      <c r="A120" s="38" t="inlineStr">
        <is>
          <t>KY12</t>
        </is>
      </c>
      <c r="B120" s="38" t="inlineStr">
        <is>
          <t>Cải thiện của phương án được ưu tiên</t>
        </is>
      </c>
      <c r="C120" s="130" t="inlineStr">
        <is>
          <t>[Chưa chốt]</t>
        </is>
      </c>
      <c r="D120" s="135" t="n"/>
      <c r="E120" s="135" t="n"/>
      <c r="F120" s="136">
        <f>IF(AND(ISNUMBER(D120),ISNUMBER(E120),D120&gt;0,E120&gt;=0),E120/D120-1,"")</f>
        <v/>
      </c>
      <c r="G120" s="136">
        <f>'01_Thiet_lap'!$D$20</f>
        <v/>
      </c>
      <c r="H120" s="38">
        <f>IF(COUNT(D120:E120)=0,"Chưa nhập dữ liệu",IF(NOT(ISNUMBER(F120)),"Cần rà soát số liệu",IF(NOT(ISNUMBER(C120)),"Cần cập nhật ngày",IF(OR('01_Thiet_lap'!$D$29="",'01_Thiet_lap'!$D$29="[Chưa thống nhất]"),"Chờ thống nhất chỉ số",IF(I120="","Chờ hồ sơ đối chiếu",IF(F120&gt;=G120,"Đạt mốc tham chiếu","Cần xem xét thêm"))))))</f>
        <v/>
      </c>
      <c r="I120" s="43" t="n"/>
      <c r="J120" s="43" t="inlineStr">
        <is>
          <t>D: phương án đối chiếu; E: phương án được ưu tiên. Dùng chỉ số tăng là tốt hơn. Tiêu chí này là một lựa chọn thay thế cho giảm chi phí.</t>
        </is>
      </c>
    </row>
    <row r="121" ht="72" customHeight="1">
      <c r="A121" s="38" t="inlineStr">
        <is>
          <t>KY12</t>
        </is>
      </c>
      <c r="B121" s="38" t="inlineStr">
        <is>
          <t>Giảm chi phí với chất lượng tương đương</t>
        </is>
      </c>
      <c r="C121" s="130" t="inlineStr">
        <is>
          <t>[Chưa chốt]</t>
        </is>
      </c>
      <c r="D121" s="135" t="n"/>
      <c r="E121" s="135" t="n"/>
      <c r="F121" s="136">
        <f>IF(AND(ISNUMBER(D121),ISNUMBER(E121),D121&gt;0,E121&gt;=0),1-E121/D121,"")</f>
        <v/>
      </c>
      <c r="G121" s="136">
        <f>'01_Thiet_lap'!$D$21</f>
        <v/>
      </c>
      <c r="H121" s="38">
        <f>IF(COUNT(D121:E121)=0,"Chưa nhập dữ liệu",IF(NOT(ISNUMBER(F121)),"Cần rà soát số liệu",IF(NOT(ISNUMBER(C121)),"Cần cập nhật ngày",IF(OR('01_Thiet_lap'!$D$30="",'01_Thiet_lap'!$D$30="[Chưa thống nhất]"),"Chờ thống nhất chỉ số",IF(I121="","Chờ hồ sơ đối chiếu",IF(F121&gt;=G121,"Đạt mốc tham chiếu","Cần xem xét thêm"))))))</f>
        <v/>
      </c>
      <c r="I121" s="43" t="n"/>
      <c r="J121" s="43" t="inlineStr">
        <is>
          <t>D/E cùng đơn vị chi phí. Mức giảm = 1 − hiện tại/đối chiếu. Cần kèm bằng chứng chất lượng tương đương.</t>
        </is>
      </c>
    </row>
    <row r="122" ht="72" customHeight="1">
      <c r="A122" s="38" t="inlineStr">
        <is>
          <t>KY12</t>
        </is>
      </c>
      <c r="B122" s="38" t="inlineStr">
        <is>
          <t>Chất lượng ổn định khi tăng phân bổ</t>
        </is>
      </c>
      <c r="C122" s="130" t="inlineStr">
        <is>
          <t>[Chưa chốt]</t>
        </is>
      </c>
      <c r="D122" s="133" t="n"/>
      <c r="E122" s="134" t="n"/>
      <c r="F122" s="102">
        <f>IF(E122="","",E122)</f>
        <v/>
      </c>
      <c r="G122" s="102" t="inlineStr">
        <is>
          <t>Đã xác nhận</t>
        </is>
      </c>
      <c r="H122" s="38">
        <f>IF(E122="","Chưa nhập dữ liệu",IF(NOT(ISNUMBER(C122)),"Cần cập nhật ngày",IF(I122="","Chờ hồ sơ đối chiếu",IF(E122="Đã xác nhận","Đạt mốc tham chiếu","Cần xem xét thêm"))))</f>
        <v/>
      </c>
      <c r="I122" s="43" t="n"/>
      <c r="J122" s="43" t="inlineStr">
        <is>
          <t>Ghi bằng chứng chất lượng được duy trì; không chỉ dựa trên số lượng tương tác.</t>
        </is>
      </c>
    </row>
    <row r="123" ht="72" customHeight="1">
      <c r="A123" s="38" t="inlineStr">
        <is>
          <t>KY12</t>
        </is>
      </c>
      <c r="B123" s="38" t="inlineStr">
        <is>
          <t>Mức suy giảm sau mở rộng cấp 1</t>
        </is>
      </c>
      <c r="C123" s="130" t="inlineStr">
        <is>
          <t>[Chưa chốt]</t>
        </is>
      </c>
      <c r="D123" s="135" t="n"/>
      <c r="E123" s="135" t="n"/>
      <c r="F123" s="136">
        <f>IF(AND(ISNUMBER(D123),ISNUMBER(E123),D123&gt;0,E123&gt;=0),MAX(0,1-E123/D123),"")</f>
        <v/>
      </c>
      <c r="G123" s="136">
        <f>'01_Thiet_lap'!$D$22</f>
        <v/>
      </c>
      <c r="H123" s="38">
        <f>IF(COUNT(D123:E123)=0,"Chưa nhập dữ liệu",IF(NOT(ISNUMBER(F123)),"Cần rà soát số liệu",IF(NOT(ISNUMBER(C123)),"Cần cập nhật ngày",IF(OR('01_Thiet_lap'!$D$28="",'01_Thiet_lap'!$D$28="[Chưa thống nhất]"),"Chờ thống nhất chỉ số",IF(I123="","Chờ hồ sơ đối chiếu",IF(F123&lt;=G123,"Đạt mốc tham chiếu","Cần xem xét thêm"))))))</f>
        <v/>
      </c>
      <c r="I123" s="43" t="n"/>
      <c r="J123" s="43" t="inlineStr">
        <is>
          <t>Dùng khi xét cấp 2. D: mốc đối chiếu đã thống nhất; E: kỳ hiện tại. Mức giảm = MAX(0; 1 − hiện tại/đối chiếu).</t>
        </is>
      </c>
    </row>
    <row r="124" ht="72" customHeight="1">
      <c r="A124" s="38" t="inlineStr">
        <is>
          <t>KY12</t>
        </is>
      </c>
      <c r="B124" s="38" t="inlineStr">
        <is>
          <t>Dư địa tiếp cận thêm đúng nhóm mục tiêu</t>
        </is>
      </c>
      <c r="C124" s="130" t="inlineStr">
        <is>
          <t>[Chưa chốt]</t>
        </is>
      </c>
      <c r="D124" s="133" t="n"/>
      <c r="E124" s="134" t="n"/>
      <c r="F124" s="102">
        <f>IF(E124="","",E124)</f>
        <v/>
      </c>
      <c r="G124" s="102" t="inlineStr">
        <is>
          <t>Đã xác nhận</t>
        </is>
      </c>
      <c r="H124" s="38">
        <f>IF(E124="","Chưa nhập dữ liệu",IF(NOT(ISNUMBER(C124)),"Cần cập nhật ngày",IF(I124="","Chờ hồ sơ đối chiếu",IF(E124="Đã xác nhận","Đạt mốc tham chiếu","Cần xem xét thêm"))))</f>
        <v/>
      </c>
      <c r="I124" s="43" t="n"/>
      <c r="J124" s="43" t="inlineStr">
        <is>
          <t>Dùng khi xem xét mở rộng, đặc biệt cấp 2; đối chiếu phạm vi tệp và chất lượng tiếp cận.</t>
        </is>
      </c>
    </row>
    <row r="125" ht="72" customHeight="1">
      <c r="A125" s="38" t="inlineStr">
        <is>
          <t>KY12</t>
        </is>
      </c>
      <c r="B125" s="38" t="inlineStr">
        <is>
          <t>Độ tin cậy của đo lường và trang đích</t>
        </is>
      </c>
      <c r="C125" s="130" t="inlineStr">
        <is>
          <t>[Chưa chốt]</t>
        </is>
      </c>
      <c r="D125" s="133" t="n"/>
      <c r="E125" s="134" t="n"/>
      <c r="F125" s="102">
        <f>IF(E125="","",E125)</f>
        <v/>
      </c>
      <c r="G125" s="102" t="inlineStr">
        <is>
          <t>Đã xác nhận</t>
        </is>
      </c>
      <c r="H125" s="38">
        <f>IF(E125="","Chưa nhập dữ liệu",IF(NOT(ISNUMBER(C125)),"Cần cập nhật ngày",IF(I125="","Chờ hồ sơ đối chiếu",IF(E125="Đã xác nhận","Đạt mốc tham chiếu","Cần xem xét thêm"))))</f>
        <v/>
      </c>
      <c r="I125" s="43" t="n"/>
      <c r="J125" s="43" t="inlineStr">
        <is>
          <t>Đối chiếu nguồn dữ liệu, trang đích, sự kiện và nơi tiếp nhận biểu mẫu.</t>
        </is>
      </c>
    </row>
    <row r="126" ht="72" customHeight="1">
      <c r="A126" s="38" t="inlineStr">
        <is>
          <t>KY12</t>
        </is>
      </c>
      <c r="B126" s="38" t="inlineStr">
        <is>
          <t>Điều kiện tiếp cận lại nhóm đã tương tác</t>
        </is>
      </c>
      <c r="C126" s="130" t="inlineStr">
        <is>
          <t>[Chưa chốt]</t>
        </is>
      </c>
      <c r="D126" s="133" t="n"/>
      <c r="E126" s="134" t="n"/>
      <c r="F126" s="102">
        <f>IF(E126="","",E126)</f>
        <v/>
      </c>
      <c r="G126" s="102" t="inlineStr">
        <is>
          <t>Đã xác nhận / Không áp dụng</t>
        </is>
      </c>
      <c r="H126" s="38">
        <f>IF(E126="","Chưa nhập dữ liệu",IF(E126="Không áp dụng","Không áp dụng",IF(NOT(ISNUMBER(C126)),"Cần cập nhật ngày",IF(I126="","Chờ hồ sơ đối chiếu",IF(E126="Đã xác nhận","Đạt mốc tham chiếu","Cần xem xét thêm")))))</f>
        <v/>
      </c>
      <c r="I126" s="43" t="n"/>
      <c r="J126" s="43" t="inlineStr">
        <is>
          <t>Chỉ áp dụng khi đề xuất tiếp thị lại. Có thể chọn 'Không áp dụng' nếu chưa sử dụng phương án này.</t>
        </is>
      </c>
    </row>
    <row r="127" ht="22" customHeight="1">
      <c r="A127" s="5" t="n"/>
      <c r="B127" s="5" t="n"/>
      <c r="C127" s="5" t="n"/>
      <c r="D127" s="5" t="n"/>
      <c r="E127" s="5" t="n"/>
      <c r="F127" s="5" t="n"/>
      <c r="G127" s="5" t="n"/>
      <c r="H127" s="5" t="n"/>
      <c r="I127" s="5" t="n"/>
      <c r="J127" s="5" t="n"/>
    </row>
    <row r="128" ht="22" customHeight="1">
      <c r="A128" s="17" t="inlineStr">
        <is>
          <t>Các mốc 70% / 80% / 20% / 15% / 10% lấy từ bản nháp đề xuất. Không sử dụng riêng một tỷ lệ hoặc một mẫu nhỏ để tự kết luận đủ điều kiện mở rộng; cần xem xét bằng chứng, quy mô dữ liệu và điều kiện của từng giai đoạn.</t>
        </is>
      </c>
      <c r="B128" s="1" t="n"/>
      <c r="C128" s="1" t="n"/>
      <c r="D128" s="1" t="n"/>
      <c r="E128" s="1" t="n"/>
      <c r="F128" s="1" t="n"/>
      <c r="G128" s="1" t="n"/>
      <c r="H128" s="1" t="n"/>
      <c r="I128" s="1" t="n"/>
      <c r="J128" s="1" t="n"/>
    </row>
    <row r="129" ht="22" customHeight="1">
      <c r="A129" s="1" t="n"/>
      <c r="B129" s="1" t="n"/>
      <c r="C129" s="1" t="n"/>
      <c r="D129" s="1" t="n"/>
      <c r="E129" s="1" t="n"/>
      <c r="F129" s="1" t="n"/>
      <c r="G129" s="1" t="n"/>
      <c r="H129" s="1" t="n"/>
      <c r="I129" s="1" t="n"/>
      <c r="J129" s="1" t="n"/>
    </row>
    <row r="130" ht="22" customHeight="1">
      <c r="A130" s="17" t="inlineStr">
        <is>
          <t>Khi xét cấp 2, hồ sơ cần thể hiện kết quả của cả G3.1 và G3.2, mỗi chu kỳ đủ ngày hợp lệ, cùng mức suy giảm và dư địa tiếp cận phù hợp. Quyết định được ghi tại Báo cáo tuần và trạng thái phê duyệt tại Lộ trình. Các ô ngày tiếp tục để [Chưa chốt] cho đến khi có ngày thực.</t>
        </is>
      </c>
      <c r="B130" s="1" t="n"/>
      <c r="C130" s="1" t="n"/>
      <c r="D130" s="1" t="n"/>
      <c r="E130" s="1" t="n"/>
      <c r="F130" s="1" t="n"/>
      <c r="G130" s="1" t="n"/>
      <c r="H130" s="1" t="n"/>
      <c r="I130" s="1" t="n"/>
      <c r="J130" s="1" t="n"/>
    </row>
    <row r="131" ht="22" customHeight="1">
      <c r="A131" s="1" t="n"/>
      <c r="J131" s="1" t="n"/>
    </row>
    <row r="132" ht="22" customHeight="1">
      <c r="A132" s="1" t="n"/>
      <c r="B132" s="1" t="n"/>
      <c r="C132" s="1" t="n"/>
      <c r="D132" s="1" t="n"/>
      <c r="E132" s="1" t="n"/>
      <c r="F132" s="1" t="n"/>
      <c r="G132" s="1" t="n"/>
      <c r="H132" s="1" t="n"/>
      <c r="I132" s="1" t="n"/>
      <c r="J132" s="1" t="n"/>
    </row>
  </sheetData>
  <mergeCells count="5">
    <mergeCell ref="A5:J5"/>
    <mergeCell ref="A130:J132"/>
    <mergeCell ref="A1:J2"/>
    <mergeCell ref="A128:J129"/>
    <mergeCell ref="A3:J4"/>
  </mergeCells>
  <conditionalFormatting sqref="H7:H126">
    <cfRule type="expression" priority="1" dxfId="0">
      <formula>H7="Đạt mốc tham chiếu"</formula>
    </cfRule>
    <cfRule type="expression" priority="2" dxfId="1">
      <formula>OR(H7="Cần xem xét thêm",H7="Cần rà soát số liệu")</formula>
    </cfRule>
  </conditionalFormatting>
  <dataValidations count="60">
    <dataValidation sqref="E7" showDropDown="0" showInputMessage="0" showErrorMessage="0" allowBlank="0" type="list">
      <formula1>"Đã xác nhận,Cần xem xét,Chưa đủ dữ liệu"</formula1>
    </dataValidation>
    <dataValidation sqref="E12" showDropDown="0" showInputMessage="0" showErrorMessage="0" allowBlank="0" type="list">
      <formula1>"Đã xác nhận,Cần xem xét,Chưa đủ dữ liệu"</formula1>
    </dataValidation>
    <dataValidation sqref="E14" showDropDown="0" showInputMessage="0" showErrorMessage="0" allowBlank="0" type="list">
      <formula1>"Đã xác nhận,Cần xem xét,Chưa đủ dữ liệu"</formula1>
    </dataValidation>
    <dataValidation sqref="E15" showDropDown="0" showInputMessage="0" showErrorMessage="0" allowBlank="0" type="list">
      <formula1>"Đã xác nhận,Cần xem xét,Chưa đủ dữ liệu"</formula1>
    </dataValidation>
    <dataValidation sqref="E16" showDropDown="0" showInputMessage="0" showErrorMessage="0" allowBlank="0" type="list">
      <formula1>"Đã xác nhận,Cần xem xét,Chưa đủ dữ liệu,Không áp dụng"</formula1>
    </dataValidation>
    <dataValidation sqref="E17" showDropDown="0" showInputMessage="0" showErrorMessage="0" allowBlank="0" type="list">
      <formula1>"Đã xác nhận,Cần xem xét,Chưa đủ dữ liệu"</formula1>
    </dataValidation>
    <dataValidation sqref="E22" showDropDown="0" showInputMessage="0" showErrorMessage="0" allowBlank="0" type="list">
      <formula1>"Đã xác nhận,Cần xem xét,Chưa đủ dữ liệu"</formula1>
    </dataValidation>
    <dataValidation sqref="E24" showDropDown="0" showInputMessage="0" showErrorMessage="0" allowBlank="0" type="list">
      <formula1>"Đã xác nhận,Cần xem xét,Chưa đủ dữ liệu"</formula1>
    </dataValidation>
    <dataValidation sqref="E25" showDropDown="0" showInputMessage="0" showErrorMessage="0" allowBlank="0" type="list">
      <formula1>"Đã xác nhận,Cần xem xét,Chưa đủ dữ liệu"</formula1>
    </dataValidation>
    <dataValidation sqref="E26" showDropDown="0" showInputMessage="0" showErrorMessage="0" allowBlank="0" type="list">
      <formula1>"Đã xác nhận,Cần xem xét,Chưa đủ dữ liệu,Không áp dụng"</formula1>
    </dataValidation>
    <dataValidation sqref="E27" showDropDown="0" showInputMessage="0" showErrorMessage="0" allowBlank="0" type="list">
      <formula1>"Đã xác nhận,Cần xem xét,Chưa đủ dữ liệu"</formula1>
    </dataValidation>
    <dataValidation sqref="E32" showDropDown="0" showInputMessage="0" showErrorMessage="0" allowBlank="0" type="list">
      <formula1>"Đã xác nhận,Cần xem xét,Chưa đủ dữ liệu"</formula1>
    </dataValidation>
    <dataValidation sqref="E34" showDropDown="0" showInputMessage="0" showErrorMessage="0" allowBlank="0" type="list">
      <formula1>"Đã xác nhận,Cần xem xét,Chưa đủ dữ liệu"</formula1>
    </dataValidation>
    <dataValidation sqref="E35" showDropDown="0" showInputMessage="0" showErrorMessage="0" allowBlank="0" type="list">
      <formula1>"Đã xác nhận,Cần xem xét,Chưa đủ dữ liệu"</formula1>
    </dataValidation>
    <dataValidation sqref="E36" showDropDown="0" showInputMessage="0" showErrorMessage="0" allowBlank="0" type="list">
      <formula1>"Đã xác nhận,Cần xem xét,Chưa đủ dữ liệu,Không áp dụng"</formula1>
    </dataValidation>
    <dataValidation sqref="E37" showDropDown="0" showInputMessage="0" showErrorMessage="0" allowBlank="0" type="list">
      <formula1>"Đã xác nhận,Cần xem xét,Chưa đủ dữ liệu"</formula1>
    </dataValidation>
    <dataValidation sqref="E42" showDropDown="0" showInputMessage="0" showErrorMessage="0" allowBlank="0" type="list">
      <formula1>"Đã xác nhận,Cần xem xét,Chưa đủ dữ liệu"</formula1>
    </dataValidation>
    <dataValidation sqref="E44" showDropDown="0" showInputMessage="0" showErrorMessage="0" allowBlank="0" type="list">
      <formula1>"Đã xác nhận,Cần xem xét,Chưa đủ dữ liệu"</formula1>
    </dataValidation>
    <dataValidation sqref="E45" showDropDown="0" showInputMessage="0" showErrorMessage="0" allowBlank="0" type="list">
      <formula1>"Đã xác nhận,Cần xem xét,Chưa đủ dữ liệu"</formula1>
    </dataValidation>
    <dataValidation sqref="E46" showDropDown="0" showInputMessage="0" showErrorMessage="0" allowBlank="0" type="list">
      <formula1>"Đã xác nhận,Cần xem xét,Chưa đủ dữ liệu,Không áp dụng"</formula1>
    </dataValidation>
    <dataValidation sqref="E47" showDropDown="0" showInputMessage="0" showErrorMessage="0" allowBlank="0" type="list">
      <formula1>"Đã xác nhận,Cần xem xét,Chưa đủ dữ liệu"</formula1>
    </dataValidation>
    <dataValidation sqref="E52" showDropDown="0" showInputMessage="0" showErrorMessage="0" allowBlank="0" type="list">
      <formula1>"Đã xác nhận,Cần xem xét,Chưa đủ dữ liệu"</formula1>
    </dataValidation>
    <dataValidation sqref="E54" showDropDown="0" showInputMessage="0" showErrorMessage="0" allowBlank="0" type="list">
      <formula1>"Đã xác nhận,Cần xem xét,Chưa đủ dữ liệu"</formula1>
    </dataValidation>
    <dataValidation sqref="E55" showDropDown="0" showInputMessage="0" showErrorMessage="0" allowBlank="0" type="list">
      <formula1>"Đã xác nhận,Cần xem xét,Chưa đủ dữ liệu"</formula1>
    </dataValidation>
    <dataValidation sqref="E56" showDropDown="0" showInputMessage="0" showErrorMessage="0" allowBlank="0" type="list">
      <formula1>"Đã xác nhận,Cần xem xét,Chưa đủ dữ liệu,Không áp dụng"</formula1>
    </dataValidation>
    <dataValidation sqref="E57" showDropDown="0" showInputMessage="0" showErrorMessage="0" allowBlank="0" type="list">
      <formula1>"Đã xác nhận,Cần xem xét,Chưa đủ dữ liệu"</formula1>
    </dataValidation>
    <dataValidation sqref="E62" showDropDown="0" showInputMessage="0" showErrorMessage="0" allowBlank="0" type="list">
      <formula1>"Đã xác nhận,Cần xem xét,Chưa đủ dữ liệu"</formula1>
    </dataValidation>
    <dataValidation sqref="E64" showDropDown="0" showInputMessage="0" showErrorMessage="0" allowBlank="0" type="list">
      <formula1>"Đã xác nhận,Cần xem xét,Chưa đủ dữ liệu"</formula1>
    </dataValidation>
    <dataValidation sqref="E65" showDropDown="0" showInputMessage="0" showErrorMessage="0" allowBlank="0" type="list">
      <formula1>"Đã xác nhận,Cần xem xét,Chưa đủ dữ liệu"</formula1>
    </dataValidation>
    <dataValidation sqref="E66" showDropDown="0" showInputMessage="0" showErrorMessage="0" allowBlank="0" type="list">
      <formula1>"Đã xác nhận,Cần xem xét,Chưa đủ dữ liệu,Không áp dụng"</formula1>
    </dataValidation>
    <dataValidation sqref="E67" showDropDown="0" showInputMessage="0" showErrorMessage="0" allowBlank="0" type="list">
      <formula1>"Đã xác nhận,Cần xem xét,Chưa đủ dữ liệu"</formula1>
    </dataValidation>
    <dataValidation sqref="E72" showDropDown="0" showInputMessage="0" showErrorMessage="0" allowBlank="0" type="list">
      <formula1>"Đã xác nhận,Cần xem xét,Chưa đủ dữ liệu"</formula1>
    </dataValidation>
    <dataValidation sqref="E74" showDropDown="0" showInputMessage="0" showErrorMessage="0" allowBlank="0" type="list">
      <formula1>"Đã xác nhận,Cần xem xét,Chưa đủ dữ liệu"</formula1>
    </dataValidation>
    <dataValidation sqref="E75" showDropDown="0" showInputMessage="0" showErrorMessage="0" allowBlank="0" type="list">
      <formula1>"Đã xác nhận,Cần xem xét,Chưa đủ dữ liệu"</formula1>
    </dataValidation>
    <dataValidation sqref="E76" showDropDown="0" showInputMessage="0" showErrorMessage="0" allowBlank="0" type="list">
      <formula1>"Đã xác nhận,Cần xem xét,Chưa đủ dữ liệu,Không áp dụng"</formula1>
    </dataValidation>
    <dataValidation sqref="E77" showDropDown="0" showInputMessage="0" showErrorMessage="0" allowBlank="0" type="list">
      <formula1>"Đã xác nhận,Cần xem xét,Chưa đủ dữ liệu"</formula1>
    </dataValidation>
    <dataValidation sqref="E82" showDropDown="0" showInputMessage="0" showErrorMessage="0" allowBlank="0" type="list">
      <formula1>"Đã xác nhận,Cần xem xét,Chưa đủ dữ liệu"</formula1>
    </dataValidation>
    <dataValidation sqref="E84" showDropDown="0" showInputMessage="0" showErrorMessage="0" allowBlank="0" type="list">
      <formula1>"Đã xác nhận,Cần xem xét,Chưa đủ dữ liệu"</formula1>
    </dataValidation>
    <dataValidation sqref="E85" showDropDown="0" showInputMessage="0" showErrorMessage="0" allowBlank="0" type="list">
      <formula1>"Đã xác nhận,Cần xem xét,Chưa đủ dữ liệu"</formula1>
    </dataValidation>
    <dataValidation sqref="E86" showDropDown="0" showInputMessage="0" showErrorMessage="0" allowBlank="0" type="list">
      <formula1>"Đã xác nhận,Cần xem xét,Chưa đủ dữ liệu,Không áp dụng"</formula1>
    </dataValidation>
    <dataValidation sqref="E87" showDropDown="0" showInputMessage="0" showErrorMessage="0" allowBlank="0" type="list">
      <formula1>"Đã xác nhận,Cần xem xét,Chưa đủ dữ liệu"</formula1>
    </dataValidation>
    <dataValidation sqref="E92" showDropDown="0" showInputMessage="0" showErrorMessage="0" allowBlank="0" type="list">
      <formula1>"Đã xác nhận,Cần xem xét,Chưa đủ dữ liệu"</formula1>
    </dataValidation>
    <dataValidation sqref="E94" showDropDown="0" showInputMessage="0" showErrorMessage="0" allowBlank="0" type="list">
      <formula1>"Đã xác nhận,Cần xem xét,Chưa đủ dữ liệu"</formula1>
    </dataValidation>
    <dataValidation sqref="E95" showDropDown="0" showInputMessage="0" showErrorMessage="0" allowBlank="0" type="list">
      <formula1>"Đã xác nhận,Cần xem xét,Chưa đủ dữ liệu"</formula1>
    </dataValidation>
    <dataValidation sqref="E96" showDropDown="0" showInputMessage="0" showErrorMessage="0" allowBlank="0" type="list">
      <formula1>"Đã xác nhận,Cần xem xét,Chưa đủ dữ liệu,Không áp dụng"</formula1>
    </dataValidation>
    <dataValidation sqref="E97" showDropDown="0" showInputMessage="0" showErrorMessage="0" allowBlank="0" type="list">
      <formula1>"Đã xác nhận,Cần xem xét,Chưa đủ dữ liệu"</formula1>
    </dataValidation>
    <dataValidation sqref="E102" showDropDown="0" showInputMessage="0" showErrorMessage="0" allowBlank="0" type="list">
      <formula1>"Đã xác nhận,Cần xem xét,Chưa đủ dữ liệu"</formula1>
    </dataValidation>
    <dataValidation sqref="E104" showDropDown="0" showInputMessage="0" showErrorMessage="0" allowBlank="0" type="list">
      <formula1>"Đã xác nhận,Cần xem xét,Chưa đủ dữ liệu"</formula1>
    </dataValidation>
    <dataValidation sqref="E105" showDropDown="0" showInputMessage="0" showErrorMessage="0" allowBlank="0" type="list">
      <formula1>"Đã xác nhận,Cần xem xét,Chưa đủ dữ liệu"</formula1>
    </dataValidation>
    <dataValidation sqref="E106" showDropDown="0" showInputMessage="0" showErrorMessage="0" allowBlank="0" type="list">
      <formula1>"Đã xác nhận,Cần xem xét,Chưa đủ dữ liệu,Không áp dụng"</formula1>
    </dataValidation>
    <dataValidation sqref="E107" showDropDown="0" showInputMessage="0" showErrorMessage="0" allowBlank="0" type="list">
      <formula1>"Đã xác nhận,Cần xem xét,Chưa đủ dữ liệu"</formula1>
    </dataValidation>
    <dataValidation sqref="E112" showDropDown="0" showInputMessage="0" showErrorMessage="0" allowBlank="0" type="list">
      <formula1>"Đã xác nhận,Cần xem xét,Chưa đủ dữ liệu"</formula1>
    </dataValidation>
    <dataValidation sqref="E114" showDropDown="0" showInputMessage="0" showErrorMessage="0" allowBlank="0" type="list">
      <formula1>"Đã xác nhận,Cần xem xét,Chưa đủ dữ liệu"</formula1>
    </dataValidation>
    <dataValidation sqref="E115" showDropDown="0" showInputMessage="0" showErrorMessage="0" allowBlank="0" type="list">
      <formula1>"Đã xác nhận,Cần xem xét,Chưa đủ dữ liệu"</formula1>
    </dataValidation>
    <dataValidation sqref="E116" showDropDown="0" showInputMessage="0" showErrorMessage="0" allowBlank="0" type="list">
      <formula1>"Đã xác nhận,Cần xem xét,Chưa đủ dữ liệu,Không áp dụng"</formula1>
    </dataValidation>
    <dataValidation sqref="E117" showDropDown="0" showInputMessage="0" showErrorMessage="0" allowBlank="0" type="list">
      <formula1>"Đã xác nhận,Cần xem xét,Chưa đủ dữ liệu"</formula1>
    </dataValidation>
    <dataValidation sqref="E122" showDropDown="0" showInputMessage="0" showErrorMessage="0" allowBlank="0" type="list">
      <formula1>"Đã xác nhận,Cần xem xét,Chưa đủ dữ liệu"</formula1>
    </dataValidation>
    <dataValidation sqref="E124" showDropDown="0" showInputMessage="0" showErrorMessage="0" allowBlank="0" type="list">
      <formula1>"Đã xác nhận,Cần xem xét,Chưa đủ dữ liệu"</formula1>
    </dataValidation>
    <dataValidation sqref="E125" showDropDown="0" showInputMessage="0" showErrorMessage="0" allowBlank="0" type="list">
      <formula1>"Đã xác nhận,Cần xem xét,Chưa đủ dữ liệu"</formula1>
    </dataValidation>
    <dataValidation sqref="E126" showDropDown="0" showInputMessage="0" showErrorMessage="0" allowBlank="0" type="list">
      <formula1>"Đã xác nhận,Cần xem xét,Chưa đủ dữ liệu,Không áp dụng"</formula1>
    </dataValidation>
  </dataValidations>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O23"/>
  <sheetViews>
    <sheetView workbookViewId="0">
      <selection activeCell="A1" sqref="A1"/>
    </sheetView>
  </sheetViews>
  <sheetFormatPr baseColWidth="8" defaultRowHeight="15"/>
  <cols>
    <col width="12" customWidth="1" min="1" max="1"/>
    <col width="12" customWidth="1" min="2" max="2"/>
    <col width="16" customWidth="1" min="3" max="3"/>
    <col width="16" customWidth="1" min="4" max="4"/>
    <col width="16" customWidth="1" min="5" max="5"/>
    <col width="23" customWidth="1" min="6" max="6"/>
    <col width="20" customWidth="1" min="7" max="7"/>
    <col width="24" customWidth="1" min="8" max="8"/>
    <col width="24" customWidth="1" min="9" max="9"/>
    <col width="38" customWidth="1" min="10" max="10"/>
    <col width="38" customWidth="1" min="11" max="11"/>
    <col width="40" customWidth="1" min="12" max="12"/>
    <col width="32" customWidth="1" min="13" max="13"/>
    <col width="40" customWidth="1" min="14" max="14"/>
    <col width="36" customWidth="1" min="15" max="15"/>
  </cols>
  <sheetData>
    <row r="1" ht="24" customHeight="1">
      <c r="A1" s="13" t="inlineStr">
        <is>
          <t>BÁO CÁO TUẦN &amp; ĐỀ XUẤT KỲ TIẾP THEO</t>
        </is>
      </c>
      <c r="B1" s="1" t="n"/>
      <c r="C1" s="1" t="n"/>
      <c r="D1" s="1" t="n"/>
      <c r="E1" s="1" t="n"/>
      <c r="F1" s="1" t="n"/>
      <c r="G1" s="1" t="n"/>
      <c r="H1" s="1" t="n"/>
      <c r="I1" s="1" t="n"/>
      <c r="J1" s="1" t="n"/>
      <c r="K1" s="1" t="n"/>
      <c r="L1" s="1" t="n"/>
      <c r="M1" s="1" t="n"/>
      <c r="N1" s="1" t="n"/>
      <c r="O1" s="1" t="n"/>
    </row>
    <row r="2" ht="24" customHeight="1">
      <c r="A2" s="1" t="n"/>
      <c r="B2" s="1" t="n"/>
      <c r="C2" s="1" t="n"/>
      <c r="D2" s="1" t="n"/>
      <c r="E2" s="1" t="n"/>
      <c r="F2" s="1" t="n"/>
      <c r="G2" s="1" t="n"/>
      <c r="H2" s="1" t="n"/>
      <c r="I2" s="1" t="n"/>
      <c r="J2" s="1" t="n"/>
      <c r="K2" s="1" t="n"/>
      <c r="L2" s="1" t="n"/>
      <c r="M2" s="1" t="n"/>
      <c r="N2" s="1" t="n"/>
      <c r="O2" s="1" t="n"/>
    </row>
    <row r="3" ht="22" customHeight="1">
      <c r="A3" s="17" t="inlineStr">
        <is>
          <t>Điền ngày thực cho từng kỳ; số liệu lấy từ nhật ký theo khoảng ngày và mã giai đoạn. Sáu kỳ đầu theo lộ trình tham chiếu; sáu kỳ tiếp theo dành cho trường hợp cần theo dõi bổ sung.</t>
        </is>
      </c>
      <c r="B3" s="1" t="n"/>
      <c r="C3" s="1" t="n"/>
      <c r="D3" s="1" t="n"/>
      <c r="E3" s="1" t="n"/>
      <c r="F3" s="1" t="n"/>
      <c r="G3" s="1" t="n"/>
      <c r="H3" s="1" t="n"/>
      <c r="I3" s="1" t="n"/>
      <c r="J3" s="1" t="n"/>
      <c r="K3" s="1" t="n"/>
      <c r="L3" s="1" t="n"/>
      <c r="M3" s="1" t="n"/>
      <c r="N3" s="1" t="n"/>
      <c r="O3" s="1" t="n"/>
    </row>
    <row r="4" ht="22" customHeight="1">
      <c r="A4" s="1" t="n"/>
      <c r="B4" s="1" t="n"/>
      <c r="C4" s="1" t="n"/>
      <c r="D4" s="1" t="n"/>
      <c r="E4" s="1" t="n"/>
      <c r="F4" s="1" t="n"/>
      <c r="G4" s="1" t="n"/>
      <c r="H4" s="1" t="n"/>
      <c r="I4" s="1" t="n"/>
      <c r="J4" s="1" t="n"/>
      <c r="K4" s="1" t="n"/>
      <c r="L4" s="1" t="n"/>
      <c r="M4" s="1" t="n"/>
      <c r="N4" s="1" t="n"/>
      <c r="O4" s="1" t="n"/>
    </row>
    <row r="5" ht="22" customHeight="1">
      <c r="A5" s="5" t="n"/>
      <c r="B5" s="5" t="n"/>
      <c r="C5" s="5" t="n"/>
      <c r="D5" s="5" t="n"/>
      <c r="E5" s="5" t="n"/>
      <c r="F5" s="5" t="n"/>
      <c r="G5" s="5" t="n"/>
      <c r="H5" s="5" t="n"/>
      <c r="I5" s="5" t="n"/>
      <c r="J5" s="5" t="n"/>
      <c r="K5" s="5" t="n"/>
      <c r="L5" s="5" t="n"/>
      <c r="M5" s="5" t="n"/>
      <c r="N5" s="5" t="n"/>
      <c r="O5" s="5" t="n"/>
    </row>
    <row r="6" ht="42" customHeight="1">
      <c r="A6" s="18" t="inlineStr">
        <is>
          <t>Kỳ</t>
        </is>
      </c>
      <c r="B6" s="18" t="inlineStr">
        <is>
          <t>Giai đoạn</t>
        </is>
      </c>
      <c r="C6" s="18" t="inlineStr">
        <is>
          <t>Từ ngày</t>
        </is>
      </c>
      <c r="D6" s="18" t="inlineStr">
        <is>
          <t>Đến ngày</t>
        </is>
      </c>
      <c r="E6" s="18" t="inlineStr">
        <is>
          <t>Ngày hợp lệ</t>
        </is>
      </c>
      <c r="F6" s="18" t="inlineStr">
        <is>
          <t>Chi quảng cáo</t>
        </is>
      </c>
      <c r="G6" s="18" t="inlineStr">
        <is>
          <t>Thuế/phí</t>
        </is>
      </c>
      <c r="H6" s="18" t="inlineStr">
        <is>
          <t>Tổng gồm thuế/phí</t>
        </is>
      </c>
      <c r="I6" s="18" t="inlineStr">
        <is>
          <t>Dự phòng còn giữ</t>
        </is>
      </c>
      <c r="J6" s="18" t="inlineStr">
        <is>
          <t>Nhóm đã tiếp cận</t>
        </is>
      </c>
      <c r="K6" s="18" t="inlineStr">
        <is>
          <t>Mức độ quan tâm thực tế</t>
        </is>
      </c>
      <c r="L6" s="18" t="inlineStr">
        <is>
          <t>Nội dung rút ra</t>
        </is>
      </c>
      <c r="M6" s="18" t="inlineStr">
        <is>
          <t>Đề xuất kỳ tiếp theo</t>
        </is>
      </c>
      <c r="N6" s="18" t="inlineStr">
        <is>
          <t>Cơ sở quyết định / bằng chứng</t>
        </is>
      </c>
      <c r="O6" s="18" t="inlineStr">
        <is>
          <t>Kiểm tra kỳ báo cáo</t>
        </is>
      </c>
    </row>
    <row r="7" ht="68" customHeight="1">
      <c r="A7" s="5" t="inlineStr">
        <is>
          <t>KY01</t>
        </is>
      </c>
      <c r="B7" s="43" t="inlineStr">
        <is>
          <t>G1</t>
        </is>
      </c>
      <c r="C7" s="130" t="inlineStr">
        <is>
          <t>[Chưa chốt]</t>
        </is>
      </c>
      <c r="D7" s="130" t="inlineStr">
        <is>
          <t>[Chưa chốt]</t>
        </is>
      </c>
      <c r="E7" s="129">
        <f>IF(AND(ISNUMBER(C7),ISNUMBER(D7),D7&gt;=C7,B7&lt;&gt;""),SUMIFS('03_Chi_tieu'!$S$7:$S$96,'03_Chi_tieu'!$A$7:$A$96,"&gt;="&amp;C7,'03_Chi_tieu'!$A$7:$A$96,"&lt;="&amp;D7,'03_Chi_tieu'!$B$7:$B$96,B7),"")</f>
        <v/>
      </c>
      <c r="F7" s="128">
        <f>IF(AND(AND(ISNUMBER(C7),ISNUMBER(D7),D7&gt;=C7,B7&lt;&gt;""),COUNTIFS('03_Chi_tieu'!$A$7:$A$96,"&gt;="&amp;C7,'03_Chi_tieu'!$A$7:$A$96,"&lt;="&amp;D7,'03_Chi_tieu'!$B$7:$B$96,B7,'03_Chi_tieu'!$I$7:$I$96,"&gt;0")&gt;0),SUMIFS('03_Chi_tieu'!$I$7:$I$96,'03_Chi_tieu'!$A$7:$A$96,"&gt;="&amp;C7,'03_Chi_tieu'!$A$7:$A$96,"&lt;="&amp;D7,'03_Chi_tieu'!$B$7:$B$96,B7),"")</f>
        <v/>
      </c>
      <c r="G7" s="128">
        <f>IF(OR(NOT(ISNUMBER(F7)),COUNTIFS('03_Chi_tieu'!$A$7:$A$96,"&gt;="&amp;C7,'03_Chi_tieu'!$A$7:$A$96,"&lt;="&amp;D7,'03_Chi_tieu'!$B$7:$B$96,B7,'03_Chi_tieu'!$I$7:$I$96,"&gt;0",'03_Chi_tieu'!$M$7:$M$96,"")&gt;0),"",SUMIFS('03_Chi_tieu'!$M$7:$M$96,'03_Chi_tieu'!$A$7:$A$96,"&gt;="&amp;C7,'03_Chi_tieu'!$A$7:$A$96,"&lt;="&amp;D7,'03_Chi_tieu'!$B$7:$B$96,B7))</f>
        <v/>
      </c>
      <c r="H7" s="128">
        <f>IF(AND(ISNUMBER(F7),ISNUMBER(G7)),F7+G7,"")</f>
        <v/>
      </c>
      <c r="I7" s="128">
        <f>IF(OR(NOT(ISNUMBER(F7)),COUNTIFS('03_Chi_tieu'!$A$7:$A$96,"&gt;="&amp;C7,'03_Chi_tieu'!$A$7:$A$96,"&lt;="&amp;D7,'03_Chi_tieu'!$B$7:$B$96,B7,'03_Chi_tieu'!$C$7:$C$96,"Hợp lệ",'03_Chi_tieu'!$J$7:$J$96,"")&gt;0,AND(B7="G4",NOT(ISNUMBER('01_Thiet_lap'!$D$24)))),"",SUMIFS('03_Chi_tieu'!$K$7:$K$96,'03_Chi_tieu'!$A$7:$A$96,"&gt;="&amp;C7,'03_Chi_tieu'!$A$7:$A$96,"&lt;="&amp;D7,'03_Chi_tieu'!$B$7:$B$96,B7))</f>
        <v/>
      </c>
      <c r="J7" s="43" t="n"/>
      <c r="K7" s="43" t="n"/>
      <c r="L7" s="43" t="n"/>
      <c r="M7" s="43" t="inlineStr">
        <is>
          <t>Chờ đánh giá</t>
        </is>
      </c>
      <c r="N7" s="43" t="n"/>
      <c r="O7" s="38">
        <f>IF(NOT(AND(ISNUMBER(C7),ISNUMBER(D7))),"Chờ chốt ngày",IF(D7&lt;C7,"Cần rà soát khoảng ngày",IF(B7="","Cần chọn giai đoạn",IF(COUNTIFS($B$7:$B$18,B7,$C$7:$C$18,"&lt;="&amp;D7,$D$7:$D$18,"&gt;="&amp;C7)&gt;1,"Cần rà soát kỳ chồng lấn",IF(NOT(ISNUMBER(F7)),"Chưa có chi ghi nhận trong kỳ",IF(COUNTIFS('03_Chi_tieu'!$A$7:$A$96,"&gt;="&amp;C7,'03_Chi_tieu'!$A$7:$A$96,"&lt;="&amp;D7,'03_Chi_tieu'!$B$7:$B$96,B7,'03_Chi_tieu'!$P$7:$P$96,"?*",'03_Chi_tieu'!$P$7:$P$96,"&lt;&gt;Đã ghi nhận")&gt;0,"Có dòng chi cần rà soát","Đã tổng hợp"))))))</f>
        <v/>
      </c>
    </row>
    <row r="8" ht="68" customHeight="1">
      <c r="A8" s="5" t="inlineStr">
        <is>
          <t>KY02</t>
        </is>
      </c>
      <c r="B8" s="43" t="inlineStr">
        <is>
          <t>G2</t>
        </is>
      </c>
      <c r="C8" s="130" t="inlineStr">
        <is>
          <t>[Chưa chốt]</t>
        </is>
      </c>
      <c r="D8" s="130" t="inlineStr">
        <is>
          <t>[Chưa chốt]</t>
        </is>
      </c>
      <c r="E8" s="129">
        <f>IF(AND(ISNUMBER(C8),ISNUMBER(D8),D8&gt;=C8,B8&lt;&gt;""),SUMIFS('03_Chi_tieu'!$S$7:$S$96,'03_Chi_tieu'!$A$7:$A$96,"&gt;="&amp;C8,'03_Chi_tieu'!$A$7:$A$96,"&lt;="&amp;D8,'03_Chi_tieu'!$B$7:$B$96,B8),"")</f>
        <v/>
      </c>
      <c r="F8" s="128">
        <f>IF(AND(AND(ISNUMBER(C8),ISNUMBER(D8),D8&gt;=C8,B8&lt;&gt;""),COUNTIFS('03_Chi_tieu'!$A$7:$A$96,"&gt;="&amp;C8,'03_Chi_tieu'!$A$7:$A$96,"&lt;="&amp;D8,'03_Chi_tieu'!$B$7:$B$96,B8,'03_Chi_tieu'!$I$7:$I$96,"&gt;0")&gt;0),SUMIFS('03_Chi_tieu'!$I$7:$I$96,'03_Chi_tieu'!$A$7:$A$96,"&gt;="&amp;C8,'03_Chi_tieu'!$A$7:$A$96,"&lt;="&amp;D8,'03_Chi_tieu'!$B$7:$B$96,B8),"")</f>
        <v/>
      </c>
      <c r="G8" s="128">
        <f>IF(OR(NOT(ISNUMBER(F8)),COUNTIFS('03_Chi_tieu'!$A$7:$A$96,"&gt;="&amp;C8,'03_Chi_tieu'!$A$7:$A$96,"&lt;="&amp;D8,'03_Chi_tieu'!$B$7:$B$96,B8,'03_Chi_tieu'!$I$7:$I$96,"&gt;0",'03_Chi_tieu'!$M$7:$M$96,"")&gt;0),"",SUMIFS('03_Chi_tieu'!$M$7:$M$96,'03_Chi_tieu'!$A$7:$A$96,"&gt;="&amp;C8,'03_Chi_tieu'!$A$7:$A$96,"&lt;="&amp;D8,'03_Chi_tieu'!$B$7:$B$96,B8))</f>
        <v/>
      </c>
      <c r="H8" s="128">
        <f>IF(AND(ISNUMBER(F8),ISNUMBER(G8)),F8+G8,"")</f>
        <v/>
      </c>
      <c r="I8" s="128">
        <f>IF(OR(NOT(ISNUMBER(F8)),COUNTIFS('03_Chi_tieu'!$A$7:$A$96,"&gt;="&amp;C8,'03_Chi_tieu'!$A$7:$A$96,"&lt;="&amp;D8,'03_Chi_tieu'!$B$7:$B$96,B8,'03_Chi_tieu'!$C$7:$C$96,"Hợp lệ",'03_Chi_tieu'!$J$7:$J$96,"")&gt;0,AND(B8="G4",NOT(ISNUMBER('01_Thiet_lap'!$D$24)))),"",SUMIFS('03_Chi_tieu'!$K$7:$K$96,'03_Chi_tieu'!$A$7:$A$96,"&gt;="&amp;C8,'03_Chi_tieu'!$A$7:$A$96,"&lt;="&amp;D8,'03_Chi_tieu'!$B$7:$B$96,B8))</f>
        <v/>
      </c>
      <c r="J8" s="43" t="n"/>
      <c r="K8" s="43" t="n"/>
      <c r="L8" s="43" t="n"/>
      <c r="M8" s="43" t="inlineStr">
        <is>
          <t>Chờ đánh giá</t>
        </is>
      </c>
      <c r="N8" s="43" t="n"/>
      <c r="O8" s="38">
        <f>IF(NOT(AND(ISNUMBER(C8),ISNUMBER(D8))),"Chờ chốt ngày",IF(D8&lt;C8,"Cần rà soát khoảng ngày",IF(B8="","Cần chọn giai đoạn",IF(COUNTIFS($B$7:$B$18,B8,$C$7:$C$18,"&lt;="&amp;D8,$D$7:$D$18,"&gt;="&amp;C8)&gt;1,"Cần rà soát kỳ chồng lấn",IF(NOT(ISNUMBER(F8)),"Chưa có chi ghi nhận trong kỳ",IF(COUNTIFS('03_Chi_tieu'!$A$7:$A$96,"&gt;="&amp;C8,'03_Chi_tieu'!$A$7:$A$96,"&lt;="&amp;D8,'03_Chi_tieu'!$B$7:$B$96,B8,'03_Chi_tieu'!$P$7:$P$96,"?*",'03_Chi_tieu'!$P$7:$P$96,"&lt;&gt;Đã ghi nhận")&gt;0,"Có dòng chi cần rà soát","Đã tổng hợp"))))))</f>
        <v/>
      </c>
    </row>
    <row r="9" ht="68" customHeight="1">
      <c r="A9" s="5" t="inlineStr">
        <is>
          <t>KY03</t>
        </is>
      </c>
      <c r="B9" s="43" t="inlineStr">
        <is>
          <t>G2</t>
        </is>
      </c>
      <c r="C9" s="130" t="inlineStr">
        <is>
          <t>[Chưa chốt]</t>
        </is>
      </c>
      <c r="D9" s="130" t="inlineStr">
        <is>
          <t>[Chưa chốt]</t>
        </is>
      </c>
      <c r="E9" s="129">
        <f>IF(AND(ISNUMBER(C9),ISNUMBER(D9),D9&gt;=C9,B9&lt;&gt;""),SUMIFS('03_Chi_tieu'!$S$7:$S$96,'03_Chi_tieu'!$A$7:$A$96,"&gt;="&amp;C9,'03_Chi_tieu'!$A$7:$A$96,"&lt;="&amp;D9,'03_Chi_tieu'!$B$7:$B$96,B9),"")</f>
        <v/>
      </c>
      <c r="F9" s="128">
        <f>IF(AND(AND(ISNUMBER(C9),ISNUMBER(D9),D9&gt;=C9,B9&lt;&gt;""),COUNTIFS('03_Chi_tieu'!$A$7:$A$96,"&gt;="&amp;C9,'03_Chi_tieu'!$A$7:$A$96,"&lt;="&amp;D9,'03_Chi_tieu'!$B$7:$B$96,B9,'03_Chi_tieu'!$I$7:$I$96,"&gt;0")&gt;0),SUMIFS('03_Chi_tieu'!$I$7:$I$96,'03_Chi_tieu'!$A$7:$A$96,"&gt;="&amp;C9,'03_Chi_tieu'!$A$7:$A$96,"&lt;="&amp;D9,'03_Chi_tieu'!$B$7:$B$96,B9),"")</f>
        <v/>
      </c>
      <c r="G9" s="128">
        <f>IF(OR(NOT(ISNUMBER(F9)),COUNTIFS('03_Chi_tieu'!$A$7:$A$96,"&gt;="&amp;C9,'03_Chi_tieu'!$A$7:$A$96,"&lt;="&amp;D9,'03_Chi_tieu'!$B$7:$B$96,B9,'03_Chi_tieu'!$I$7:$I$96,"&gt;0",'03_Chi_tieu'!$M$7:$M$96,"")&gt;0),"",SUMIFS('03_Chi_tieu'!$M$7:$M$96,'03_Chi_tieu'!$A$7:$A$96,"&gt;="&amp;C9,'03_Chi_tieu'!$A$7:$A$96,"&lt;="&amp;D9,'03_Chi_tieu'!$B$7:$B$96,B9))</f>
        <v/>
      </c>
      <c r="H9" s="128">
        <f>IF(AND(ISNUMBER(F9),ISNUMBER(G9)),F9+G9,"")</f>
        <v/>
      </c>
      <c r="I9" s="128">
        <f>IF(OR(NOT(ISNUMBER(F9)),COUNTIFS('03_Chi_tieu'!$A$7:$A$96,"&gt;="&amp;C9,'03_Chi_tieu'!$A$7:$A$96,"&lt;="&amp;D9,'03_Chi_tieu'!$B$7:$B$96,B9,'03_Chi_tieu'!$C$7:$C$96,"Hợp lệ",'03_Chi_tieu'!$J$7:$J$96,"")&gt;0,AND(B9="G4",NOT(ISNUMBER('01_Thiet_lap'!$D$24)))),"",SUMIFS('03_Chi_tieu'!$K$7:$K$96,'03_Chi_tieu'!$A$7:$A$96,"&gt;="&amp;C9,'03_Chi_tieu'!$A$7:$A$96,"&lt;="&amp;D9,'03_Chi_tieu'!$B$7:$B$96,B9))</f>
        <v/>
      </c>
      <c r="J9" s="43" t="n"/>
      <c r="K9" s="43" t="n"/>
      <c r="L9" s="43" t="n"/>
      <c r="M9" s="43" t="inlineStr">
        <is>
          <t>Chờ đánh giá</t>
        </is>
      </c>
      <c r="N9" s="43" t="n"/>
      <c r="O9" s="38">
        <f>IF(NOT(AND(ISNUMBER(C9),ISNUMBER(D9))),"Chờ chốt ngày",IF(D9&lt;C9,"Cần rà soát khoảng ngày",IF(B9="","Cần chọn giai đoạn",IF(COUNTIFS($B$7:$B$18,B9,$C$7:$C$18,"&lt;="&amp;D9,$D$7:$D$18,"&gt;="&amp;C9)&gt;1,"Cần rà soát kỳ chồng lấn",IF(NOT(ISNUMBER(F9)),"Chưa có chi ghi nhận trong kỳ",IF(COUNTIFS('03_Chi_tieu'!$A$7:$A$96,"&gt;="&amp;C9,'03_Chi_tieu'!$A$7:$A$96,"&lt;="&amp;D9,'03_Chi_tieu'!$B$7:$B$96,B9,'03_Chi_tieu'!$P$7:$P$96,"?*",'03_Chi_tieu'!$P$7:$P$96,"&lt;&gt;Đã ghi nhận")&gt;0,"Có dòng chi cần rà soát","Đã tổng hợp"))))))</f>
        <v/>
      </c>
    </row>
    <row r="10" ht="68" customHeight="1">
      <c r="A10" s="5" t="inlineStr">
        <is>
          <t>KY04</t>
        </is>
      </c>
      <c r="B10" s="43" t="inlineStr">
        <is>
          <t>G3.1</t>
        </is>
      </c>
      <c r="C10" s="130" t="inlineStr">
        <is>
          <t>[Chưa chốt]</t>
        </is>
      </c>
      <c r="D10" s="130" t="inlineStr">
        <is>
          <t>[Chưa chốt]</t>
        </is>
      </c>
      <c r="E10" s="129">
        <f>IF(AND(ISNUMBER(C10),ISNUMBER(D10),D10&gt;=C10,B10&lt;&gt;""),SUMIFS('03_Chi_tieu'!$S$7:$S$96,'03_Chi_tieu'!$A$7:$A$96,"&gt;="&amp;C10,'03_Chi_tieu'!$A$7:$A$96,"&lt;="&amp;D10,'03_Chi_tieu'!$B$7:$B$96,B10),"")</f>
        <v/>
      </c>
      <c r="F10" s="128">
        <f>IF(AND(AND(ISNUMBER(C10),ISNUMBER(D10),D10&gt;=C10,B10&lt;&gt;""),COUNTIFS('03_Chi_tieu'!$A$7:$A$96,"&gt;="&amp;C10,'03_Chi_tieu'!$A$7:$A$96,"&lt;="&amp;D10,'03_Chi_tieu'!$B$7:$B$96,B10,'03_Chi_tieu'!$I$7:$I$96,"&gt;0")&gt;0),SUMIFS('03_Chi_tieu'!$I$7:$I$96,'03_Chi_tieu'!$A$7:$A$96,"&gt;="&amp;C10,'03_Chi_tieu'!$A$7:$A$96,"&lt;="&amp;D10,'03_Chi_tieu'!$B$7:$B$96,B10),"")</f>
        <v/>
      </c>
      <c r="G10" s="128">
        <f>IF(OR(NOT(ISNUMBER(F10)),COUNTIFS('03_Chi_tieu'!$A$7:$A$96,"&gt;="&amp;C10,'03_Chi_tieu'!$A$7:$A$96,"&lt;="&amp;D10,'03_Chi_tieu'!$B$7:$B$96,B10,'03_Chi_tieu'!$I$7:$I$96,"&gt;0",'03_Chi_tieu'!$M$7:$M$96,"")&gt;0),"",SUMIFS('03_Chi_tieu'!$M$7:$M$96,'03_Chi_tieu'!$A$7:$A$96,"&gt;="&amp;C10,'03_Chi_tieu'!$A$7:$A$96,"&lt;="&amp;D10,'03_Chi_tieu'!$B$7:$B$96,B10))</f>
        <v/>
      </c>
      <c r="H10" s="128">
        <f>IF(AND(ISNUMBER(F10),ISNUMBER(G10)),F10+G10,"")</f>
        <v/>
      </c>
      <c r="I10" s="128">
        <f>IF(OR(NOT(ISNUMBER(F10)),COUNTIFS('03_Chi_tieu'!$A$7:$A$96,"&gt;="&amp;C10,'03_Chi_tieu'!$A$7:$A$96,"&lt;="&amp;D10,'03_Chi_tieu'!$B$7:$B$96,B10,'03_Chi_tieu'!$C$7:$C$96,"Hợp lệ",'03_Chi_tieu'!$J$7:$J$96,"")&gt;0,AND(B10="G4",NOT(ISNUMBER('01_Thiet_lap'!$D$24)))),"",SUMIFS('03_Chi_tieu'!$K$7:$K$96,'03_Chi_tieu'!$A$7:$A$96,"&gt;="&amp;C10,'03_Chi_tieu'!$A$7:$A$96,"&lt;="&amp;D10,'03_Chi_tieu'!$B$7:$B$96,B10))</f>
        <v/>
      </c>
      <c r="J10" s="43" t="n"/>
      <c r="K10" s="43" t="n"/>
      <c r="L10" s="43" t="n"/>
      <c r="M10" s="43" t="inlineStr">
        <is>
          <t>Chờ đánh giá</t>
        </is>
      </c>
      <c r="N10" s="43" t="n"/>
      <c r="O10" s="38">
        <f>IF(NOT(AND(ISNUMBER(C10),ISNUMBER(D10))),"Chờ chốt ngày",IF(D10&lt;C10,"Cần rà soát khoảng ngày",IF(B10="","Cần chọn giai đoạn",IF(COUNTIFS($B$7:$B$18,B10,$C$7:$C$18,"&lt;="&amp;D10,$D$7:$D$18,"&gt;="&amp;C10)&gt;1,"Cần rà soát kỳ chồng lấn",IF(NOT(ISNUMBER(F10)),"Chưa có chi ghi nhận trong kỳ",IF(COUNTIFS('03_Chi_tieu'!$A$7:$A$96,"&gt;="&amp;C10,'03_Chi_tieu'!$A$7:$A$96,"&lt;="&amp;D10,'03_Chi_tieu'!$B$7:$B$96,B10,'03_Chi_tieu'!$P$7:$P$96,"?*",'03_Chi_tieu'!$P$7:$P$96,"&lt;&gt;Đã ghi nhận")&gt;0,"Có dòng chi cần rà soát","Đã tổng hợp"))))))</f>
        <v/>
      </c>
    </row>
    <row r="11" ht="68" customHeight="1">
      <c r="A11" s="5" t="inlineStr">
        <is>
          <t>KY05</t>
        </is>
      </c>
      <c r="B11" s="43" t="inlineStr">
        <is>
          <t>G3.2</t>
        </is>
      </c>
      <c r="C11" s="130" t="inlineStr">
        <is>
          <t>[Chưa chốt]</t>
        </is>
      </c>
      <c r="D11" s="130" t="inlineStr">
        <is>
          <t>[Chưa chốt]</t>
        </is>
      </c>
      <c r="E11" s="129">
        <f>IF(AND(ISNUMBER(C11),ISNUMBER(D11),D11&gt;=C11,B11&lt;&gt;""),SUMIFS('03_Chi_tieu'!$S$7:$S$96,'03_Chi_tieu'!$A$7:$A$96,"&gt;="&amp;C11,'03_Chi_tieu'!$A$7:$A$96,"&lt;="&amp;D11,'03_Chi_tieu'!$B$7:$B$96,B11),"")</f>
        <v/>
      </c>
      <c r="F11" s="128">
        <f>IF(AND(AND(ISNUMBER(C11),ISNUMBER(D11),D11&gt;=C11,B11&lt;&gt;""),COUNTIFS('03_Chi_tieu'!$A$7:$A$96,"&gt;="&amp;C11,'03_Chi_tieu'!$A$7:$A$96,"&lt;="&amp;D11,'03_Chi_tieu'!$B$7:$B$96,B11,'03_Chi_tieu'!$I$7:$I$96,"&gt;0")&gt;0),SUMIFS('03_Chi_tieu'!$I$7:$I$96,'03_Chi_tieu'!$A$7:$A$96,"&gt;="&amp;C11,'03_Chi_tieu'!$A$7:$A$96,"&lt;="&amp;D11,'03_Chi_tieu'!$B$7:$B$96,B11),"")</f>
        <v/>
      </c>
      <c r="G11" s="128">
        <f>IF(OR(NOT(ISNUMBER(F11)),COUNTIFS('03_Chi_tieu'!$A$7:$A$96,"&gt;="&amp;C11,'03_Chi_tieu'!$A$7:$A$96,"&lt;="&amp;D11,'03_Chi_tieu'!$B$7:$B$96,B11,'03_Chi_tieu'!$I$7:$I$96,"&gt;0",'03_Chi_tieu'!$M$7:$M$96,"")&gt;0),"",SUMIFS('03_Chi_tieu'!$M$7:$M$96,'03_Chi_tieu'!$A$7:$A$96,"&gt;="&amp;C11,'03_Chi_tieu'!$A$7:$A$96,"&lt;="&amp;D11,'03_Chi_tieu'!$B$7:$B$96,B11))</f>
        <v/>
      </c>
      <c r="H11" s="128">
        <f>IF(AND(ISNUMBER(F11),ISNUMBER(G11)),F11+G11,"")</f>
        <v/>
      </c>
      <c r="I11" s="128">
        <f>IF(OR(NOT(ISNUMBER(F11)),COUNTIFS('03_Chi_tieu'!$A$7:$A$96,"&gt;="&amp;C11,'03_Chi_tieu'!$A$7:$A$96,"&lt;="&amp;D11,'03_Chi_tieu'!$B$7:$B$96,B11,'03_Chi_tieu'!$C$7:$C$96,"Hợp lệ",'03_Chi_tieu'!$J$7:$J$96,"")&gt;0,AND(B11="G4",NOT(ISNUMBER('01_Thiet_lap'!$D$24)))),"",SUMIFS('03_Chi_tieu'!$K$7:$K$96,'03_Chi_tieu'!$A$7:$A$96,"&gt;="&amp;C11,'03_Chi_tieu'!$A$7:$A$96,"&lt;="&amp;D11,'03_Chi_tieu'!$B$7:$B$96,B11))</f>
        <v/>
      </c>
      <c r="J11" s="43" t="n"/>
      <c r="K11" s="43" t="n"/>
      <c r="L11" s="43" t="n"/>
      <c r="M11" s="43" t="inlineStr">
        <is>
          <t>Chờ đánh giá</t>
        </is>
      </c>
      <c r="N11" s="43" t="n"/>
      <c r="O11" s="38">
        <f>IF(NOT(AND(ISNUMBER(C11),ISNUMBER(D11))),"Chờ chốt ngày",IF(D11&lt;C11,"Cần rà soát khoảng ngày",IF(B11="","Cần chọn giai đoạn",IF(COUNTIFS($B$7:$B$18,B11,$C$7:$C$18,"&lt;="&amp;D11,$D$7:$D$18,"&gt;="&amp;C11)&gt;1,"Cần rà soát kỳ chồng lấn",IF(NOT(ISNUMBER(F11)),"Chưa có chi ghi nhận trong kỳ",IF(COUNTIFS('03_Chi_tieu'!$A$7:$A$96,"&gt;="&amp;C11,'03_Chi_tieu'!$A$7:$A$96,"&lt;="&amp;D11,'03_Chi_tieu'!$B$7:$B$96,B11,'03_Chi_tieu'!$P$7:$P$96,"?*",'03_Chi_tieu'!$P$7:$P$96,"&lt;&gt;Đã ghi nhận")&gt;0,"Có dòng chi cần rà soát","Đã tổng hợp"))))))</f>
        <v/>
      </c>
    </row>
    <row r="12" ht="68" customHeight="1">
      <c r="A12" s="5" t="inlineStr">
        <is>
          <t>KY06</t>
        </is>
      </c>
      <c r="B12" s="43" t="inlineStr">
        <is>
          <t>G4</t>
        </is>
      </c>
      <c r="C12" s="130" t="inlineStr">
        <is>
          <t>[Chưa chốt]</t>
        </is>
      </c>
      <c r="D12" s="130" t="inlineStr">
        <is>
          <t>[Chưa chốt]</t>
        </is>
      </c>
      <c r="E12" s="129">
        <f>IF(AND(ISNUMBER(C12),ISNUMBER(D12),D12&gt;=C12,B12&lt;&gt;""),SUMIFS('03_Chi_tieu'!$S$7:$S$96,'03_Chi_tieu'!$A$7:$A$96,"&gt;="&amp;C12,'03_Chi_tieu'!$A$7:$A$96,"&lt;="&amp;D12,'03_Chi_tieu'!$B$7:$B$96,B12),"")</f>
        <v/>
      </c>
      <c r="F12" s="128">
        <f>IF(AND(AND(ISNUMBER(C12),ISNUMBER(D12),D12&gt;=C12,B12&lt;&gt;""),COUNTIFS('03_Chi_tieu'!$A$7:$A$96,"&gt;="&amp;C12,'03_Chi_tieu'!$A$7:$A$96,"&lt;="&amp;D12,'03_Chi_tieu'!$B$7:$B$96,B12,'03_Chi_tieu'!$I$7:$I$96,"&gt;0")&gt;0),SUMIFS('03_Chi_tieu'!$I$7:$I$96,'03_Chi_tieu'!$A$7:$A$96,"&gt;="&amp;C12,'03_Chi_tieu'!$A$7:$A$96,"&lt;="&amp;D12,'03_Chi_tieu'!$B$7:$B$96,B12),"")</f>
        <v/>
      </c>
      <c r="G12" s="128">
        <f>IF(OR(NOT(ISNUMBER(F12)),COUNTIFS('03_Chi_tieu'!$A$7:$A$96,"&gt;="&amp;C12,'03_Chi_tieu'!$A$7:$A$96,"&lt;="&amp;D12,'03_Chi_tieu'!$B$7:$B$96,B12,'03_Chi_tieu'!$I$7:$I$96,"&gt;0",'03_Chi_tieu'!$M$7:$M$96,"")&gt;0),"",SUMIFS('03_Chi_tieu'!$M$7:$M$96,'03_Chi_tieu'!$A$7:$A$96,"&gt;="&amp;C12,'03_Chi_tieu'!$A$7:$A$96,"&lt;="&amp;D12,'03_Chi_tieu'!$B$7:$B$96,B12))</f>
        <v/>
      </c>
      <c r="H12" s="128">
        <f>IF(AND(ISNUMBER(F12),ISNUMBER(G12)),F12+G12,"")</f>
        <v/>
      </c>
      <c r="I12" s="128">
        <f>IF(OR(NOT(ISNUMBER(F12)),COUNTIFS('03_Chi_tieu'!$A$7:$A$96,"&gt;="&amp;C12,'03_Chi_tieu'!$A$7:$A$96,"&lt;="&amp;D12,'03_Chi_tieu'!$B$7:$B$96,B12,'03_Chi_tieu'!$C$7:$C$96,"Hợp lệ",'03_Chi_tieu'!$J$7:$J$96,"")&gt;0,AND(B12="G4",NOT(ISNUMBER('01_Thiet_lap'!$D$24)))),"",SUMIFS('03_Chi_tieu'!$K$7:$K$96,'03_Chi_tieu'!$A$7:$A$96,"&gt;="&amp;C12,'03_Chi_tieu'!$A$7:$A$96,"&lt;="&amp;D12,'03_Chi_tieu'!$B$7:$B$96,B12))</f>
        <v/>
      </c>
      <c r="J12" s="43" t="n"/>
      <c r="K12" s="43" t="n"/>
      <c r="L12" s="43" t="n"/>
      <c r="M12" s="43" t="inlineStr">
        <is>
          <t>Chờ đánh giá</t>
        </is>
      </c>
      <c r="N12" s="43" t="n"/>
      <c r="O12" s="38">
        <f>IF(NOT(AND(ISNUMBER(C12),ISNUMBER(D12))),"Chờ chốt ngày",IF(D12&lt;C12,"Cần rà soát khoảng ngày",IF(B12="","Cần chọn giai đoạn",IF(COUNTIFS($B$7:$B$18,B12,$C$7:$C$18,"&lt;="&amp;D12,$D$7:$D$18,"&gt;="&amp;C12)&gt;1,"Cần rà soát kỳ chồng lấn",IF(NOT(ISNUMBER(F12)),"Chưa có chi ghi nhận trong kỳ",IF(COUNTIFS('03_Chi_tieu'!$A$7:$A$96,"&gt;="&amp;C12,'03_Chi_tieu'!$A$7:$A$96,"&lt;="&amp;D12,'03_Chi_tieu'!$B$7:$B$96,B12,'03_Chi_tieu'!$P$7:$P$96,"?*",'03_Chi_tieu'!$P$7:$P$96,"&lt;&gt;Đã ghi nhận")&gt;0,"Có dòng chi cần rà soát","Đã tổng hợp"))))))</f>
        <v/>
      </c>
    </row>
    <row r="13" ht="68" customHeight="1">
      <c r="A13" s="5" t="inlineStr">
        <is>
          <t>KY07</t>
        </is>
      </c>
      <c r="B13" s="43" t="n"/>
      <c r="C13" s="130" t="inlineStr">
        <is>
          <t>[Chưa chốt]</t>
        </is>
      </c>
      <c r="D13" s="130" t="inlineStr">
        <is>
          <t>[Chưa chốt]</t>
        </is>
      </c>
      <c r="E13" s="129">
        <f>IF(AND(ISNUMBER(C13),ISNUMBER(D13),D13&gt;=C13,B13&lt;&gt;""),SUMIFS('03_Chi_tieu'!$S$7:$S$96,'03_Chi_tieu'!$A$7:$A$96,"&gt;="&amp;C13,'03_Chi_tieu'!$A$7:$A$96,"&lt;="&amp;D13,'03_Chi_tieu'!$B$7:$B$96,B13),"")</f>
        <v/>
      </c>
      <c r="F13" s="128">
        <f>IF(AND(AND(ISNUMBER(C13),ISNUMBER(D13),D13&gt;=C13,B13&lt;&gt;""),COUNTIFS('03_Chi_tieu'!$A$7:$A$96,"&gt;="&amp;C13,'03_Chi_tieu'!$A$7:$A$96,"&lt;="&amp;D13,'03_Chi_tieu'!$B$7:$B$96,B13,'03_Chi_tieu'!$I$7:$I$96,"&gt;0")&gt;0),SUMIFS('03_Chi_tieu'!$I$7:$I$96,'03_Chi_tieu'!$A$7:$A$96,"&gt;="&amp;C13,'03_Chi_tieu'!$A$7:$A$96,"&lt;="&amp;D13,'03_Chi_tieu'!$B$7:$B$96,B13),"")</f>
        <v/>
      </c>
      <c r="G13" s="128">
        <f>IF(OR(NOT(ISNUMBER(F13)),COUNTIFS('03_Chi_tieu'!$A$7:$A$96,"&gt;="&amp;C13,'03_Chi_tieu'!$A$7:$A$96,"&lt;="&amp;D13,'03_Chi_tieu'!$B$7:$B$96,B13,'03_Chi_tieu'!$I$7:$I$96,"&gt;0",'03_Chi_tieu'!$M$7:$M$96,"")&gt;0),"",SUMIFS('03_Chi_tieu'!$M$7:$M$96,'03_Chi_tieu'!$A$7:$A$96,"&gt;="&amp;C13,'03_Chi_tieu'!$A$7:$A$96,"&lt;="&amp;D13,'03_Chi_tieu'!$B$7:$B$96,B13))</f>
        <v/>
      </c>
      <c r="H13" s="128">
        <f>IF(AND(ISNUMBER(F13),ISNUMBER(G13)),F13+G13,"")</f>
        <v/>
      </c>
      <c r="I13" s="128">
        <f>IF(OR(NOT(ISNUMBER(F13)),COUNTIFS('03_Chi_tieu'!$A$7:$A$96,"&gt;="&amp;C13,'03_Chi_tieu'!$A$7:$A$96,"&lt;="&amp;D13,'03_Chi_tieu'!$B$7:$B$96,B13,'03_Chi_tieu'!$C$7:$C$96,"Hợp lệ",'03_Chi_tieu'!$J$7:$J$96,"")&gt;0,AND(B13="G4",NOT(ISNUMBER('01_Thiet_lap'!$D$24)))),"",SUMIFS('03_Chi_tieu'!$K$7:$K$96,'03_Chi_tieu'!$A$7:$A$96,"&gt;="&amp;C13,'03_Chi_tieu'!$A$7:$A$96,"&lt;="&amp;D13,'03_Chi_tieu'!$B$7:$B$96,B13))</f>
        <v/>
      </c>
      <c r="J13" s="43" t="n"/>
      <c r="K13" s="43" t="n"/>
      <c r="L13" s="43" t="n"/>
      <c r="M13" s="43" t="inlineStr">
        <is>
          <t>Chờ đánh giá</t>
        </is>
      </c>
      <c r="N13" s="43" t="n"/>
      <c r="O13" s="38">
        <f>IF(NOT(AND(ISNUMBER(C13),ISNUMBER(D13))),"Chờ chốt ngày",IF(D13&lt;C13,"Cần rà soát khoảng ngày",IF(B13="","Cần chọn giai đoạn",IF(COUNTIFS($B$7:$B$18,B13,$C$7:$C$18,"&lt;="&amp;D13,$D$7:$D$18,"&gt;="&amp;C13)&gt;1,"Cần rà soát kỳ chồng lấn",IF(NOT(ISNUMBER(F13)),"Chưa có chi ghi nhận trong kỳ",IF(COUNTIFS('03_Chi_tieu'!$A$7:$A$96,"&gt;="&amp;C13,'03_Chi_tieu'!$A$7:$A$96,"&lt;="&amp;D13,'03_Chi_tieu'!$B$7:$B$96,B13,'03_Chi_tieu'!$P$7:$P$96,"?*",'03_Chi_tieu'!$P$7:$P$96,"&lt;&gt;Đã ghi nhận")&gt;0,"Có dòng chi cần rà soát","Đã tổng hợp"))))))</f>
        <v/>
      </c>
    </row>
    <row r="14" ht="68" customHeight="1">
      <c r="A14" s="5" t="inlineStr">
        <is>
          <t>KY08</t>
        </is>
      </c>
      <c r="B14" s="43" t="n"/>
      <c r="C14" s="130" t="inlineStr">
        <is>
          <t>[Chưa chốt]</t>
        </is>
      </c>
      <c r="D14" s="130" t="inlineStr">
        <is>
          <t>[Chưa chốt]</t>
        </is>
      </c>
      <c r="E14" s="129">
        <f>IF(AND(ISNUMBER(C14),ISNUMBER(D14),D14&gt;=C14,B14&lt;&gt;""),SUMIFS('03_Chi_tieu'!$S$7:$S$96,'03_Chi_tieu'!$A$7:$A$96,"&gt;="&amp;C14,'03_Chi_tieu'!$A$7:$A$96,"&lt;="&amp;D14,'03_Chi_tieu'!$B$7:$B$96,B14),"")</f>
        <v/>
      </c>
      <c r="F14" s="128">
        <f>IF(AND(AND(ISNUMBER(C14),ISNUMBER(D14),D14&gt;=C14,B14&lt;&gt;""),COUNTIFS('03_Chi_tieu'!$A$7:$A$96,"&gt;="&amp;C14,'03_Chi_tieu'!$A$7:$A$96,"&lt;="&amp;D14,'03_Chi_tieu'!$B$7:$B$96,B14,'03_Chi_tieu'!$I$7:$I$96,"&gt;0")&gt;0),SUMIFS('03_Chi_tieu'!$I$7:$I$96,'03_Chi_tieu'!$A$7:$A$96,"&gt;="&amp;C14,'03_Chi_tieu'!$A$7:$A$96,"&lt;="&amp;D14,'03_Chi_tieu'!$B$7:$B$96,B14),"")</f>
        <v/>
      </c>
      <c r="G14" s="128">
        <f>IF(OR(NOT(ISNUMBER(F14)),COUNTIFS('03_Chi_tieu'!$A$7:$A$96,"&gt;="&amp;C14,'03_Chi_tieu'!$A$7:$A$96,"&lt;="&amp;D14,'03_Chi_tieu'!$B$7:$B$96,B14,'03_Chi_tieu'!$I$7:$I$96,"&gt;0",'03_Chi_tieu'!$M$7:$M$96,"")&gt;0),"",SUMIFS('03_Chi_tieu'!$M$7:$M$96,'03_Chi_tieu'!$A$7:$A$96,"&gt;="&amp;C14,'03_Chi_tieu'!$A$7:$A$96,"&lt;="&amp;D14,'03_Chi_tieu'!$B$7:$B$96,B14))</f>
        <v/>
      </c>
      <c r="H14" s="128">
        <f>IF(AND(ISNUMBER(F14),ISNUMBER(G14)),F14+G14,"")</f>
        <v/>
      </c>
      <c r="I14" s="128">
        <f>IF(OR(NOT(ISNUMBER(F14)),COUNTIFS('03_Chi_tieu'!$A$7:$A$96,"&gt;="&amp;C14,'03_Chi_tieu'!$A$7:$A$96,"&lt;="&amp;D14,'03_Chi_tieu'!$B$7:$B$96,B14,'03_Chi_tieu'!$C$7:$C$96,"Hợp lệ",'03_Chi_tieu'!$J$7:$J$96,"")&gt;0,AND(B14="G4",NOT(ISNUMBER('01_Thiet_lap'!$D$24)))),"",SUMIFS('03_Chi_tieu'!$K$7:$K$96,'03_Chi_tieu'!$A$7:$A$96,"&gt;="&amp;C14,'03_Chi_tieu'!$A$7:$A$96,"&lt;="&amp;D14,'03_Chi_tieu'!$B$7:$B$96,B14))</f>
        <v/>
      </c>
      <c r="J14" s="43" t="n"/>
      <c r="K14" s="43" t="n"/>
      <c r="L14" s="43" t="n"/>
      <c r="M14" s="43" t="inlineStr">
        <is>
          <t>Chờ đánh giá</t>
        </is>
      </c>
      <c r="N14" s="43" t="n"/>
      <c r="O14" s="38">
        <f>IF(NOT(AND(ISNUMBER(C14),ISNUMBER(D14))),"Chờ chốt ngày",IF(D14&lt;C14,"Cần rà soát khoảng ngày",IF(B14="","Cần chọn giai đoạn",IF(COUNTIFS($B$7:$B$18,B14,$C$7:$C$18,"&lt;="&amp;D14,$D$7:$D$18,"&gt;="&amp;C14)&gt;1,"Cần rà soát kỳ chồng lấn",IF(NOT(ISNUMBER(F14)),"Chưa có chi ghi nhận trong kỳ",IF(COUNTIFS('03_Chi_tieu'!$A$7:$A$96,"&gt;="&amp;C14,'03_Chi_tieu'!$A$7:$A$96,"&lt;="&amp;D14,'03_Chi_tieu'!$B$7:$B$96,B14,'03_Chi_tieu'!$P$7:$P$96,"?*",'03_Chi_tieu'!$P$7:$P$96,"&lt;&gt;Đã ghi nhận")&gt;0,"Có dòng chi cần rà soát","Đã tổng hợp"))))))</f>
        <v/>
      </c>
    </row>
    <row r="15" ht="68" customHeight="1">
      <c r="A15" s="5" t="inlineStr">
        <is>
          <t>KY09</t>
        </is>
      </c>
      <c r="B15" s="43" t="n"/>
      <c r="C15" s="130" t="inlineStr">
        <is>
          <t>[Chưa chốt]</t>
        </is>
      </c>
      <c r="D15" s="130" t="inlineStr">
        <is>
          <t>[Chưa chốt]</t>
        </is>
      </c>
      <c r="E15" s="129">
        <f>IF(AND(ISNUMBER(C15),ISNUMBER(D15),D15&gt;=C15,B15&lt;&gt;""),SUMIFS('03_Chi_tieu'!$S$7:$S$96,'03_Chi_tieu'!$A$7:$A$96,"&gt;="&amp;C15,'03_Chi_tieu'!$A$7:$A$96,"&lt;="&amp;D15,'03_Chi_tieu'!$B$7:$B$96,B15),"")</f>
        <v/>
      </c>
      <c r="F15" s="128">
        <f>IF(AND(AND(ISNUMBER(C15),ISNUMBER(D15),D15&gt;=C15,B15&lt;&gt;""),COUNTIFS('03_Chi_tieu'!$A$7:$A$96,"&gt;="&amp;C15,'03_Chi_tieu'!$A$7:$A$96,"&lt;="&amp;D15,'03_Chi_tieu'!$B$7:$B$96,B15,'03_Chi_tieu'!$I$7:$I$96,"&gt;0")&gt;0),SUMIFS('03_Chi_tieu'!$I$7:$I$96,'03_Chi_tieu'!$A$7:$A$96,"&gt;="&amp;C15,'03_Chi_tieu'!$A$7:$A$96,"&lt;="&amp;D15,'03_Chi_tieu'!$B$7:$B$96,B15),"")</f>
        <v/>
      </c>
      <c r="G15" s="128">
        <f>IF(OR(NOT(ISNUMBER(F15)),COUNTIFS('03_Chi_tieu'!$A$7:$A$96,"&gt;="&amp;C15,'03_Chi_tieu'!$A$7:$A$96,"&lt;="&amp;D15,'03_Chi_tieu'!$B$7:$B$96,B15,'03_Chi_tieu'!$I$7:$I$96,"&gt;0",'03_Chi_tieu'!$M$7:$M$96,"")&gt;0),"",SUMIFS('03_Chi_tieu'!$M$7:$M$96,'03_Chi_tieu'!$A$7:$A$96,"&gt;="&amp;C15,'03_Chi_tieu'!$A$7:$A$96,"&lt;="&amp;D15,'03_Chi_tieu'!$B$7:$B$96,B15))</f>
        <v/>
      </c>
      <c r="H15" s="128">
        <f>IF(AND(ISNUMBER(F15),ISNUMBER(G15)),F15+G15,"")</f>
        <v/>
      </c>
      <c r="I15" s="128">
        <f>IF(OR(NOT(ISNUMBER(F15)),COUNTIFS('03_Chi_tieu'!$A$7:$A$96,"&gt;="&amp;C15,'03_Chi_tieu'!$A$7:$A$96,"&lt;="&amp;D15,'03_Chi_tieu'!$B$7:$B$96,B15,'03_Chi_tieu'!$C$7:$C$96,"Hợp lệ",'03_Chi_tieu'!$J$7:$J$96,"")&gt;0,AND(B15="G4",NOT(ISNUMBER('01_Thiet_lap'!$D$24)))),"",SUMIFS('03_Chi_tieu'!$K$7:$K$96,'03_Chi_tieu'!$A$7:$A$96,"&gt;="&amp;C15,'03_Chi_tieu'!$A$7:$A$96,"&lt;="&amp;D15,'03_Chi_tieu'!$B$7:$B$96,B15))</f>
        <v/>
      </c>
      <c r="J15" s="43" t="n"/>
      <c r="K15" s="43" t="n"/>
      <c r="L15" s="43" t="n"/>
      <c r="M15" s="43" t="inlineStr">
        <is>
          <t>Chờ đánh giá</t>
        </is>
      </c>
      <c r="N15" s="43" t="n"/>
      <c r="O15" s="38">
        <f>IF(NOT(AND(ISNUMBER(C15),ISNUMBER(D15))),"Chờ chốt ngày",IF(D15&lt;C15,"Cần rà soát khoảng ngày",IF(B15="","Cần chọn giai đoạn",IF(COUNTIFS($B$7:$B$18,B15,$C$7:$C$18,"&lt;="&amp;D15,$D$7:$D$18,"&gt;="&amp;C15)&gt;1,"Cần rà soát kỳ chồng lấn",IF(NOT(ISNUMBER(F15)),"Chưa có chi ghi nhận trong kỳ",IF(COUNTIFS('03_Chi_tieu'!$A$7:$A$96,"&gt;="&amp;C15,'03_Chi_tieu'!$A$7:$A$96,"&lt;="&amp;D15,'03_Chi_tieu'!$B$7:$B$96,B15,'03_Chi_tieu'!$P$7:$P$96,"?*",'03_Chi_tieu'!$P$7:$P$96,"&lt;&gt;Đã ghi nhận")&gt;0,"Có dòng chi cần rà soát","Đã tổng hợp"))))))</f>
        <v/>
      </c>
    </row>
    <row r="16" ht="68" customHeight="1">
      <c r="A16" s="5" t="inlineStr">
        <is>
          <t>KY10</t>
        </is>
      </c>
      <c r="B16" s="43" t="n"/>
      <c r="C16" s="130" t="inlineStr">
        <is>
          <t>[Chưa chốt]</t>
        </is>
      </c>
      <c r="D16" s="130" t="inlineStr">
        <is>
          <t>[Chưa chốt]</t>
        </is>
      </c>
      <c r="E16" s="129">
        <f>IF(AND(ISNUMBER(C16),ISNUMBER(D16),D16&gt;=C16,B16&lt;&gt;""),SUMIFS('03_Chi_tieu'!$S$7:$S$96,'03_Chi_tieu'!$A$7:$A$96,"&gt;="&amp;C16,'03_Chi_tieu'!$A$7:$A$96,"&lt;="&amp;D16,'03_Chi_tieu'!$B$7:$B$96,B16),"")</f>
        <v/>
      </c>
      <c r="F16" s="128">
        <f>IF(AND(AND(ISNUMBER(C16),ISNUMBER(D16),D16&gt;=C16,B16&lt;&gt;""),COUNTIFS('03_Chi_tieu'!$A$7:$A$96,"&gt;="&amp;C16,'03_Chi_tieu'!$A$7:$A$96,"&lt;="&amp;D16,'03_Chi_tieu'!$B$7:$B$96,B16,'03_Chi_tieu'!$I$7:$I$96,"&gt;0")&gt;0),SUMIFS('03_Chi_tieu'!$I$7:$I$96,'03_Chi_tieu'!$A$7:$A$96,"&gt;="&amp;C16,'03_Chi_tieu'!$A$7:$A$96,"&lt;="&amp;D16,'03_Chi_tieu'!$B$7:$B$96,B16),"")</f>
        <v/>
      </c>
      <c r="G16" s="128">
        <f>IF(OR(NOT(ISNUMBER(F16)),COUNTIFS('03_Chi_tieu'!$A$7:$A$96,"&gt;="&amp;C16,'03_Chi_tieu'!$A$7:$A$96,"&lt;="&amp;D16,'03_Chi_tieu'!$B$7:$B$96,B16,'03_Chi_tieu'!$I$7:$I$96,"&gt;0",'03_Chi_tieu'!$M$7:$M$96,"")&gt;0),"",SUMIFS('03_Chi_tieu'!$M$7:$M$96,'03_Chi_tieu'!$A$7:$A$96,"&gt;="&amp;C16,'03_Chi_tieu'!$A$7:$A$96,"&lt;="&amp;D16,'03_Chi_tieu'!$B$7:$B$96,B16))</f>
        <v/>
      </c>
      <c r="H16" s="128">
        <f>IF(AND(ISNUMBER(F16),ISNUMBER(G16)),F16+G16,"")</f>
        <v/>
      </c>
      <c r="I16" s="128">
        <f>IF(OR(NOT(ISNUMBER(F16)),COUNTIFS('03_Chi_tieu'!$A$7:$A$96,"&gt;="&amp;C16,'03_Chi_tieu'!$A$7:$A$96,"&lt;="&amp;D16,'03_Chi_tieu'!$B$7:$B$96,B16,'03_Chi_tieu'!$C$7:$C$96,"Hợp lệ",'03_Chi_tieu'!$J$7:$J$96,"")&gt;0,AND(B16="G4",NOT(ISNUMBER('01_Thiet_lap'!$D$24)))),"",SUMIFS('03_Chi_tieu'!$K$7:$K$96,'03_Chi_tieu'!$A$7:$A$96,"&gt;="&amp;C16,'03_Chi_tieu'!$A$7:$A$96,"&lt;="&amp;D16,'03_Chi_tieu'!$B$7:$B$96,B16))</f>
        <v/>
      </c>
      <c r="J16" s="43" t="n"/>
      <c r="K16" s="43" t="n"/>
      <c r="L16" s="43" t="n"/>
      <c r="M16" s="43" t="inlineStr">
        <is>
          <t>Chờ đánh giá</t>
        </is>
      </c>
      <c r="N16" s="43" t="n"/>
      <c r="O16" s="38">
        <f>IF(NOT(AND(ISNUMBER(C16),ISNUMBER(D16))),"Chờ chốt ngày",IF(D16&lt;C16,"Cần rà soát khoảng ngày",IF(B16="","Cần chọn giai đoạn",IF(COUNTIFS($B$7:$B$18,B16,$C$7:$C$18,"&lt;="&amp;D16,$D$7:$D$18,"&gt;="&amp;C16)&gt;1,"Cần rà soát kỳ chồng lấn",IF(NOT(ISNUMBER(F16)),"Chưa có chi ghi nhận trong kỳ",IF(COUNTIFS('03_Chi_tieu'!$A$7:$A$96,"&gt;="&amp;C16,'03_Chi_tieu'!$A$7:$A$96,"&lt;="&amp;D16,'03_Chi_tieu'!$B$7:$B$96,B16,'03_Chi_tieu'!$P$7:$P$96,"?*",'03_Chi_tieu'!$P$7:$P$96,"&lt;&gt;Đã ghi nhận")&gt;0,"Có dòng chi cần rà soát","Đã tổng hợp"))))))</f>
        <v/>
      </c>
    </row>
    <row r="17" ht="68" customHeight="1">
      <c r="A17" s="5" t="inlineStr">
        <is>
          <t>KY11</t>
        </is>
      </c>
      <c r="B17" s="43" t="n"/>
      <c r="C17" s="130" t="inlineStr">
        <is>
          <t>[Chưa chốt]</t>
        </is>
      </c>
      <c r="D17" s="130" t="inlineStr">
        <is>
          <t>[Chưa chốt]</t>
        </is>
      </c>
      <c r="E17" s="129">
        <f>IF(AND(ISNUMBER(C17),ISNUMBER(D17),D17&gt;=C17,B17&lt;&gt;""),SUMIFS('03_Chi_tieu'!$S$7:$S$96,'03_Chi_tieu'!$A$7:$A$96,"&gt;="&amp;C17,'03_Chi_tieu'!$A$7:$A$96,"&lt;="&amp;D17,'03_Chi_tieu'!$B$7:$B$96,B17),"")</f>
        <v/>
      </c>
      <c r="F17" s="128">
        <f>IF(AND(AND(ISNUMBER(C17),ISNUMBER(D17),D17&gt;=C17,B17&lt;&gt;""),COUNTIFS('03_Chi_tieu'!$A$7:$A$96,"&gt;="&amp;C17,'03_Chi_tieu'!$A$7:$A$96,"&lt;="&amp;D17,'03_Chi_tieu'!$B$7:$B$96,B17,'03_Chi_tieu'!$I$7:$I$96,"&gt;0")&gt;0),SUMIFS('03_Chi_tieu'!$I$7:$I$96,'03_Chi_tieu'!$A$7:$A$96,"&gt;="&amp;C17,'03_Chi_tieu'!$A$7:$A$96,"&lt;="&amp;D17,'03_Chi_tieu'!$B$7:$B$96,B17),"")</f>
        <v/>
      </c>
      <c r="G17" s="128">
        <f>IF(OR(NOT(ISNUMBER(F17)),COUNTIFS('03_Chi_tieu'!$A$7:$A$96,"&gt;="&amp;C17,'03_Chi_tieu'!$A$7:$A$96,"&lt;="&amp;D17,'03_Chi_tieu'!$B$7:$B$96,B17,'03_Chi_tieu'!$I$7:$I$96,"&gt;0",'03_Chi_tieu'!$M$7:$M$96,"")&gt;0),"",SUMIFS('03_Chi_tieu'!$M$7:$M$96,'03_Chi_tieu'!$A$7:$A$96,"&gt;="&amp;C17,'03_Chi_tieu'!$A$7:$A$96,"&lt;="&amp;D17,'03_Chi_tieu'!$B$7:$B$96,B17))</f>
        <v/>
      </c>
      <c r="H17" s="128">
        <f>IF(AND(ISNUMBER(F17),ISNUMBER(G17)),F17+G17,"")</f>
        <v/>
      </c>
      <c r="I17" s="128">
        <f>IF(OR(NOT(ISNUMBER(F17)),COUNTIFS('03_Chi_tieu'!$A$7:$A$96,"&gt;="&amp;C17,'03_Chi_tieu'!$A$7:$A$96,"&lt;="&amp;D17,'03_Chi_tieu'!$B$7:$B$96,B17,'03_Chi_tieu'!$C$7:$C$96,"Hợp lệ",'03_Chi_tieu'!$J$7:$J$96,"")&gt;0,AND(B17="G4",NOT(ISNUMBER('01_Thiet_lap'!$D$24)))),"",SUMIFS('03_Chi_tieu'!$K$7:$K$96,'03_Chi_tieu'!$A$7:$A$96,"&gt;="&amp;C17,'03_Chi_tieu'!$A$7:$A$96,"&lt;="&amp;D17,'03_Chi_tieu'!$B$7:$B$96,B17))</f>
        <v/>
      </c>
      <c r="J17" s="43" t="n"/>
      <c r="K17" s="43" t="n"/>
      <c r="L17" s="43" t="n"/>
      <c r="M17" s="43" t="inlineStr">
        <is>
          <t>Chờ đánh giá</t>
        </is>
      </c>
      <c r="N17" s="43" t="n"/>
      <c r="O17" s="38">
        <f>IF(NOT(AND(ISNUMBER(C17),ISNUMBER(D17))),"Chờ chốt ngày",IF(D17&lt;C17,"Cần rà soát khoảng ngày",IF(B17="","Cần chọn giai đoạn",IF(COUNTIFS($B$7:$B$18,B17,$C$7:$C$18,"&lt;="&amp;D17,$D$7:$D$18,"&gt;="&amp;C17)&gt;1,"Cần rà soát kỳ chồng lấn",IF(NOT(ISNUMBER(F17)),"Chưa có chi ghi nhận trong kỳ",IF(COUNTIFS('03_Chi_tieu'!$A$7:$A$96,"&gt;="&amp;C17,'03_Chi_tieu'!$A$7:$A$96,"&lt;="&amp;D17,'03_Chi_tieu'!$B$7:$B$96,B17,'03_Chi_tieu'!$P$7:$P$96,"?*",'03_Chi_tieu'!$P$7:$P$96,"&lt;&gt;Đã ghi nhận")&gt;0,"Có dòng chi cần rà soát","Đã tổng hợp"))))))</f>
        <v/>
      </c>
    </row>
    <row r="18" ht="68" customHeight="1">
      <c r="A18" s="5" t="inlineStr">
        <is>
          <t>KY12</t>
        </is>
      </c>
      <c r="B18" s="43" t="n"/>
      <c r="C18" s="130" t="inlineStr">
        <is>
          <t>[Chưa chốt]</t>
        </is>
      </c>
      <c r="D18" s="130" t="inlineStr">
        <is>
          <t>[Chưa chốt]</t>
        </is>
      </c>
      <c r="E18" s="129">
        <f>IF(AND(ISNUMBER(C18),ISNUMBER(D18),D18&gt;=C18,B18&lt;&gt;""),SUMIFS('03_Chi_tieu'!$S$7:$S$96,'03_Chi_tieu'!$A$7:$A$96,"&gt;="&amp;C18,'03_Chi_tieu'!$A$7:$A$96,"&lt;="&amp;D18,'03_Chi_tieu'!$B$7:$B$96,B18),"")</f>
        <v/>
      </c>
      <c r="F18" s="128">
        <f>IF(AND(AND(ISNUMBER(C18),ISNUMBER(D18),D18&gt;=C18,B18&lt;&gt;""),COUNTIFS('03_Chi_tieu'!$A$7:$A$96,"&gt;="&amp;C18,'03_Chi_tieu'!$A$7:$A$96,"&lt;="&amp;D18,'03_Chi_tieu'!$B$7:$B$96,B18,'03_Chi_tieu'!$I$7:$I$96,"&gt;0")&gt;0),SUMIFS('03_Chi_tieu'!$I$7:$I$96,'03_Chi_tieu'!$A$7:$A$96,"&gt;="&amp;C18,'03_Chi_tieu'!$A$7:$A$96,"&lt;="&amp;D18,'03_Chi_tieu'!$B$7:$B$96,B18),"")</f>
        <v/>
      </c>
      <c r="G18" s="128">
        <f>IF(OR(NOT(ISNUMBER(F18)),COUNTIFS('03_Chi_tieu'!$A$7:$A$96,"&gt;="&amp;C18,'03_Chi_tieu'!$A$7:$A$96,"&lt;="&amp;D18,'03_Chi_tieu'!$B$7:$B$96,B18,'03_Chi_tieu'!$I$7:$I$96,"&gt;0",'03_Chi_tieu'!$M$7:$M$96,"")&gt;0),"",SUMIFS('03_Chi_tieu'!$M$7:$M$96,'03_Chi_tieu'!$A$7:$A$96,"&gt;="&amp;C18,'03_Chi_tieu'!$A$7:$A$96,"&lt;="&amp;D18,'03_Chi_tieu'!$B$7:$B$96,B18))</f>
        <v/>
      </c>
      <c r="H18" s="128">
        <f>IF(AND(ISNUMBER(F18),ISNUMBER(G18)),F18+G18,"")</f>
        <v/>
      </c>
      <c r="I18" s="128">
        <f>IF(OR(NOT(ISNUMBER(F18)),COUNTIFS('03_Chi_tieu'!$A$7:$A$96,"&gt;="&amp;C18,'03_Chi_tieu'!$A$7:$A$96,"&lt;="&amp;D18,'03_Chi_tieu'!$B$7:$B$96,B18,'03_Chi_tieu'!$C$7:$C$96,"Hợp lệ",'03_Chi_tieu'!$J$7:$J$96,"")&gt;0,AND(B18="G4",NOT(ISNUMBER('01_Thiet_lap'!$D$24)))),"",SUMIFS('03_Chi_tieu'!$K$7:$K$96,'03_Chi_tieu'!$A$7:$A$96,"&gt;="&amp;C18,'03_Chi_tieu'!$A$7:$A$96,"&lt;="&amp;D18,'03_Chi_tieu'!$B$7:$B$96,B18))</f>
        <v/>
      </c>
      <c r="J18" s="43" t="n"/>
      <c r="K18" s="43" t="n"/>
      <c r="L18" s="43" t="n"/>
      <c r="M18" s="43" t="inlineStr">
        <is>
          <t>Chờ đánh giá</t>
        </is>
      </c>
      <c r="N18" s="43" t="n"/>
      <c r="O18" s="38">
        <f>IF(NOT(AND(ISNUMBER(C18),ISNUMBER(D18))),"Chờ chốt ngày",IF(D18&lt;C18,"Cần rà soát khoảng ngày",IF(B18="","Cần chọn giai đoạn",IF(COUNTIFS($B$7:$B$18,B18,$C$7:$C$18,"&lt;="&amp;D18,$D$7:$D$18,"&gt;="&amp;C18)&gt;1,"Cần rà soát kỳ chồng lấn",IF(NOT(ISNUMBER(F18)),"Chưa có chi ghi nhận trong kỳ",IF(COUNTIFS('03_Chi_tieu'!$A$7:$A$96,"&gt;="&amp;C18,'03_Chi_tieu'!$A$7:$A$96,"&lt;="&amp;D18,'03_Chi_tieu'!$B$7:$B$96,B18,'03_Chi_tieu'!$P$7:$P$96,"?*",'03_Chi_tieu'!$P$7:$P$96,"&lt;&gt;Đã ghi nhận")&gt;0,"Có dòng chi cần rà soát","Đã tổng hợp"))))))</f>
        <v/>
      </c>
    </row>
    <row r="19" ht="22" customHeight="1">
      <c r="A19" s="5" t="n"/>
      <c r="B19" s="5" t="n"/>
      <c r="C19" s="5" t="n"/>
      <c r="D19" s="5" t="n"/>
      <c r="E19" s="5" t="n"/>
      <c r="F19" s="5" t="n"/>
      <c r="G19" s="5" t="n"/>
      <c r="H19" s="5" t="n"/>
      <c r="I19" s="5" t="n"/>
      <c r="J19" s="5" t="n"/>
      <c r="K19" s="5" t="n"/>
      <c r="L19" s="5" t="n"/>
      <c r="M19" s="5" t="n"/>
      <c r="N19" s="5" t="n"/>
      <c r="O19" s="5" t="n"/>
    </row>
    <row r="20" ht="22" customHeight="1">
      <c r="A20" s="17" t="inlineStr">
        <is>
          <t>Mỗi báo cáo cần đủ sáu nội dung: đã chi, đã tiếp cận nhóm nào, mức quan tâm, nội dung rút ra, đề xuất kỳ tiếp theo và dự phòng còn giữ. Nhận định và phê duyệt được cập nhật thủ công; công thức không tự quyết định tăng ngân sách.</t>
        </is>
      </c>
      <c r="B20" s="1" t="n"/>
      <c r="C20" s="1" t="n"/>
      <c r="D20" s="1" t="n"/>
      <c r="E20" s="1" t="n"/>
      <c r="F20" s="1" t="n"/>
      <c r="G20" s="1" t="n"/>
      <c r="H20" s="1" t="n"/>
      <c r="I20" s="1" t="n"/>
      <c r="J20" s="1" t="n"/>
      <c r="K20" s="1" t="n"/>
      <c r="L20" s="1" t="n"/>
      <c r="M20" s="1" t="n"/>
      <c r="N20" s="1" t="n"/>
      <c r="O20" s="1" t="n"/>
    </row>
    <row r="21" ht="22" customHeight="1">
      <c r="A21" s="1" t="n"/>
      <c r="B21" s="1" t="n"/>
      <c r="C21" s="1" t="n"/>
      <c r="D21" s="1" t="n"/>
      <c r="E21" s="1" t="n"/>
      <c r="F21" s="1" t="n"/>
      <c r="G21" s="1" t="n"/>
      <c r="H21" s="1" t="n"/>
      <c r="I21" s="1" t="n"/>
      <c r="J21" s="1" t="n"/>
      <c r="K21" s="1" t="n"/>
      <c r="L21" s="1" t="n"/>
      <c r="M21" s="1" t="n"/>
      <c r="N21" s="1" t="n"/>
      <c r="O21" s="1" t="n"/>
    </row>
    <row r="22" ht="22" customHeight="1">
      <c r="A22" s="17" t="inlineStr">
        <is>
          <t>Không cộng chồng các kỳ có khoảng ngày trùng nhau trong cùng giai đoạn. Thuế/phí hoặc dự phòng còn thiếu sẽ để trống phần tổng hợp liên quan. Các kỳ bổ sung không tự làm tăng khung ngân sách đã được duyệt.</t>
        </is>
      </c>
      <c r="B22" s="1" t="n"/>
      <c r="C22" s="1" t="n"/>
      <c r="D22" s="1" t="n"/>
      <c r="E22" s="1" t="n"/>
      <c r="F22" s="1" t="n"/>
      <c r="G22" s="1" t="n"/>
      <c r="H22" s="1" t="n"/>
      <c r="I22" s="1" t="n"/>
      <c r="J22" s="1" t="n"/>
      <c r="K22" s="1" t="n"/>
      <c r="L22" s="1" t="n"/>
      <c r="M22" s="1" t="n"/>
      <c r="N22" s="1" t="n"/>
      <c r="O22" s="1" t="n"/>
    </row>
    <row r="23" ht="22" customHeight="1">
      <c r="A23" s="1" t="n"/>
      <c r="B23" s="1" t="n"/>
      <c r="C23" s="1" t="n"/>
      <c r="D23" s="1" t="n"/>
      <c r="E23" s="1" t="n"/>
      <c r="F23" s="1" t="n"/>
      <c r="G23" s="1" t="n"/>
      <c r="H23" s="1" t="n"/>
      <c r="I23" s="1" t="n"/>
      <c r="J23" s="1" t="n"/>
      <c r="K23" s="1" t="n"/>
      <c r="L23" s="1" t="n"/>
      <c r="M23" s="1" t="n"/>
      <c r="N23" s="1" t="n"/>
      <c r="O23" s="1" t="n"/>
    </row>
  </sheetData>
  <mergeCells count="4">
    <mergeCell ref="A3:O4"/>
    <mergeCell ref="A22:O23"/>
    <mergeCell ref="A1:O2"/>
    <mergeCell ref="A20:O21"/>
  </mergeCells>
  <dataValidations count="2">
    <dataValidation sqref="B7:B18" showDropDown="0" showInputMessage="0" showErrorMessage="0" allowBlank="0" type="list">
      <formula1>"G1,G2,G3.1,G3.2,G4"</formula1>
    </dataValidation>
    <dataValidation sqref="M7:M18" showDropDown="0" showInputMessage="0" showErrorMessage="0" allowBlank="0" type="list">
      <formula1>"Chờ đánh giá,Duy trì,Thử nghiệm thêm,Điều chỉnh phân bổ cấp 1,Trình duyệt cấp 2,Giảm ngân sách,Tạm dừng hạng mục"</formula1>
    </dataValidation>
  </dataValidation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9" customWidth="1" min="1" max="1"/>
    <col width="32" customWidth="1" min="2" max="2"/>
    <col width="40" customWidth="1" min="3" max="3"/>
    <col width="22" customWidth="1" min="4" max="4"/>
    <col width="25" customWidth="1" min="5" max="5"/>
    <col width="17" customWidth="1" min="6" max="6"/>
    <col width="18" customWidth="1" min="7" max="7"/>
    <col width="40" customWidth="1" min="8" max="8"/>
  </cols>
  <sheetData>
    <row r="1" ht="24" customHeight="1">
      <c r="A1" s="13" t="inlineStr">
        <is>
          <t>DANH SÁCH KIỂM TRA TRƯỚC TRIỂN KHAI</t>
        </is>
      </c>
      <c r="B1" s="1" t="n"/>
      <c r="C1" s="1" t="n"/>
      <c r="D1" s="1" t="n"/>
      <c r="E1" s="1" t="n"/>
      <c r="F1" s="1" t="n"/>
      <c r="G1" s="1" t="n"/>
      <c r="H1" s="1" t="n"/>
    </row>
    <row r="2" ht="24" customHeight="1">
      <c r="A2" s="1" t="n"/>
      <c r="B2" s="1" t="n"/>
      <c r="C2" s="1" t="n"/>
      <c r="D2" s="1" t="n"/>
      <c r="E2" s="1" t="n"/>
      <c r="F2" s="1" t="n"/>
      <c r="G2" s="1" t="n"/>
      <c r="H2" s="1" t="n"/>
    </row>
    <row r="3" ht="22" customHeight="1">
      <c r="A3" s="17" t="inlineStr">
        <is>
          <t>Trạng thái ban đầu là Chưa xác nhận; phụ trách và thời hạn để placeholder. Chỉ chuyển trạng thái sau khi có nội dung đối chiếu phù hợp.</t>
        </is>
      </c>
      <c r="B3" s="1" t="n"/>
      <c r="C3" s="1" t="n"/>
      <c r="D3" s="1" t="n"/>
      <c r="E3" s="1" t="n"/>
      <c r="F3" s="1" t="n"/>
      <c r="G3" s="1" t="n"/>
      <c r="H3" s="1" t="n"/>
    </row>
    <row r="4" ht="22" customHeight="1">
      <c r="A4" s="1" t="n"/>
      <c r="B4" s="1" t="n"/>
      <c r="C4" s="1" t="n"/>
      <c r="D4" s="1" t="n"/>
      <c r="E4" s="1" t="n"/>
      <c r="F4" s="1" t="n"/>
      <c r="G4" s="1" t="n"/>
      <c r="H4" s="1" t="n"/>
    </row>
    <row r="5" ht="22" customHeight="1">
      <c r="A5" s="5" t="n"/>
      <c r="B5" s="5" t="n"/>
      <c r="C5" s="5" t="n"/>
      <c r="D5" s="5" t="n"/>
      <c r="E5" s="5" t="n"/>
      <c r="F5" s="5" t="n"/>
      <c r="G5" s="5" t="n"/>
      <c r="H5" s="5" t="n"/>
    </row>
    <row r="6" ht="42" customHeight="1">
      <c r="A6" s="18" t="inlineStr">
        <is>
          <t>STT</t>
        </is>
      </c>
      <c r="B6" s="18" t="inlineStr">
        <is>
          <t>Hạng mục</t>
        </is>
      </c>
      <c r="C6" s="18" t="inlineStr">
        <is>
          <t>Nội dung xác nhận</t>
        </is>
      </c>
      <c r="D6" s="18" t="inlineStr">
        <is>
          <t>Trạng thái</t>
        </is>
      </c>
      <c r="E6" s="18" t="inlineStr">
        <is>
          <t>Phụ trách</t>
        </is>
      </c>
      <c r="F6" s="18" t="inlineStr">
        <is>
          <t>Ngày dự kiến</t>
        </is>
      </c>
      <c r="G6" s="18" t="inlineStr">
        <is>
          <t>Ngày xác nhận</t>
        </is>
      </c>
      <c r="H6" s="18" t="inlineStr">
        <is>
          <t>Bằng chứng / ghi chú</t>
        </is>
      </c>
    </row>
    <row r="7" ht="67" customHeight="1">
      <c r="A7" s="5" t="n">
        <v>1</v>
      </c>
      <c r="B7" s="5" t="inlineStr">
        <is>
          <t>Phạm vi ngân sách</t>
        </is>
      </c>
      <c r="C7" s="5" t="inlineStr">
        <is>
          <t>Xác nhận 1.000.000 VNĐ/ngày là chi quảng cáo hay đã gồm thuế/phí.</t>
        </is>
      </c>
      <c r="D7" s="43" t="inlineStr">
        <is>
          <t>Chưa xác nhận</t>
        </is>
      </c>
      <c r="E7" s="43" t="inlineStr">
        <is>
          <t>[Chưa phân công]</t>
        </is>
      </c>
      <c r="F7" s="130" t="inlineStr">
        <is>
          <t>[Chưa chốt]</t>
        </is>
      </c>
      <c r="G7" s="130" t="inlineStr">
        <is>
          <t>[Chưa chốt]</t>
        </is>
      </c>
      <c r="H7" s="43" t="n"/>
    </row>
    <row r="8" ht="67" customHeight="1">
      <c r="A8" s="5" t="n">
        <v>2</v>
      </c>
      <c r="B8" s="5" t="inlineStr">
        <is>
          <t>Tách thuế và phí</t>
        </is>
      </c>
      <c r="C8" s="5" t="inlineStr">
        <is>
          <t>Xác định phần thuế, phí dịch vụ và sản xuất nội dung ngoài ngân sách quảng cáo.</t>
        </is>
      </c>
      <c r="D8" s="43" t="inlineStr">
        <is>
          <t>Chưa xác nhận</t>
        </is>
      </c>
      <c r="E8" s="43" t="inlineStr">
        <is>
          <t>[Chưa phân công]</t>
        </is>
      </c>
      <c r="F8" s="130" t="inlineStr">
        <is>
          <t>[Chưa chốt]</t>
        </is>
      </c>
      <c r="G8" s="130" t="inlineStr">
        <is>
          <t>[Chưa chốt]</t>
        </is>
      </c>
      <c r="H8" s="43" t="n"/>
    </row>
    <row r="9" ht="67" customHeight="1">
      <c r="A9" s="5" t="n">
        <v>3</v>
      </c>
      <c r="B9" s="5" t="inlineStr">
        <is>
          <t>Lịch bắt đầu</t>
        </is>
      </c>
      <c r="C9" s="5" t="inlineStr">
        <is>
          <t>Thống nhất ngày bắt đầu và cập nhật vào Thiết lập / Lộ trình.</t>
        </is>
      </c>
      <c r="D9" s="43" t="inlineStr">
        <is>
          <t>Chưa xác nhận</t>
        </is>
      </c>
      <c r="E9" s="43" t="inlineStr">
        <is>
          <t>[Chưa phân công]</t>
        </is>
      </c>
      <c r="F9" s="130" t="inlineStr">
        <is>
          <t>[Chưa chốt]</t>
        </is>
      </c>
      <c r="G9" s="130" t="inlineStr">
        <is>
          <t>[Chưa chốt]</t>
        </is>
      </c>
      <c r="H9" s="43" t="n"/>
    </row>
    <row r="10" ht="67" customHeight="1">
      <c r="A10" s="5" t="n">
        <v>4</v>
      </c>
      <c r="B10" s="5" t="inlineStr">
        <is>
          <t>Lịch kết thúc</t>
        </is>
      </c>
      <c r="C10" s="5" t="inlineStr">
        <is>
          <t>Thống nhất ngày kết thúc, ngày không chạy và cách tính ngày hợp lệ.</t>
        </is>
      </c>
      <c r="D10" s="43" t="inlineStr">
        <is>
          <t>Chưa xác nhận</t>
        </is>
      </c>
      <c r="E10" s="43" t="inlineStr">
        <is>
          <t>[Chưa phân công]</t>
        </is>
      </c>
      <c r="F10" s="130" t="inlineStr">
        <is>
          <t>[Chưa chốt]</t>
        </is>
      </c>
      <c r="G10" s="130" t="inlineStr">
        <is>
          <t>[Chưa chốt]</t>
        </is>
      </c>
      <c r="H10" s="43" t="n"/>
    </row>
    <row r="11" ht="67" customHeight="1">
      <c r="A11" s="5" t="n">
        <v>5</v>
      </c>
      <c r="B11" s="5" t="inlineStr">
        <is>
          <t>Thẩm quyền điều chỉnh</t>
        </is>
      </c>
      <c r="C11" s="5" t="inlineStr">
        <is>
          <t>Xác nhận quyền phân bổ giữa kênh và giới hạn điều chỉnh trong khung ngân sách.</t>
        </is>
      </c>
      <c r="D11" s="43" t="inlineStr">
        <is>
          <t>Chưa xác nhận</t>
        </is>
      </c>
      <c r="E11" s="43" t="inlineStr">
        <is>
          <t>[Chưa phân công]</t>
        </is>
      </c>
      <c r="F11" s="130" t="inlineStr">
        <is>
          <t>[Chưa chốt]</t>
        </is>
      </c>
      <c r="G11" s="130" t="inlineStr">
        <is>
          <t>[Chưa chốt]</t>
        </is>
      </c>
      <c r="H11" s="43" t="n"/>
    </row>
    <row r="12" ht="67" customHeight="1">
      <c r="A12" s="5" t="n">
        <v>6</v>
      </c>
      <c r="B12" s="5" t="inlineStr">
        <is>
          <t>Sử dụng dự phòng</t>
        </is>
      </c>
      <c r="C12" s="5" t="inlineStr">
        <is>
          <t>Thống nhất cách ghi câu hỏi thử nghiệm, lý do dùng dự phòng và hồ sơ kết quả.</t>
        </is>
      </c>
      <c r="D12" s="43" t="inlineStr">
        <is>
          <t>Chưa xác nhận</t>
        </is>
      </c>
      <c r="E12" s="43" t="inlineStr">
        <is>
          <t>[Chưa phân công]</t>
        </is>
      </c>
      <c r="F12" s="130" t="inlineStr">
        <is>
          <t>[Chưa chốt]</t>
        </is>
      </c>
      <c r="G12" s="130" t="inlineStr">
        <is>
          <t>[Chưa chốt]</t>
        </is>
      </c>
      <c r="H12" s="43" t="n"/>
    </row>
    <row r="13" ht="67" customHeight="1">
      <c r="A13" s="5" t="n">
        <v>7</v>
      </c>
      <c r="B13" s="5" t="inlineStr">
        <is>
          <t>Nhóm mục tiêu LinkedIn</t>
        </is>
      </c>
      <c r="C13" s="5" t="inlineStr">
        <is>
          <t>Đối chiếu doanh nghiệp, ngành và vai trò với phạm vi mục tiêu.</t>
        </is>
      </c>
      <c r="D13" s="43" t="inlineStr">
        <is>
          <t>Chưa xác nhận</t>
        </is>
      </c>
      <c r="E13" s="43" t="inlineStr">
        <is>
          <t>[Chưa phân công]</t>
        </is>
      </c>
      <c r="F13" s="130" t="inlineStr">
        <is>
          <t>[Chưa chốt]</t>
        </is>
      </c>
      <c r="G13" s="130" t="inlineStr">
        <is>
          <t>[Chưa chốt]</t>
        </is>
      </c>
      <c r="H13" s="43" t="n"/>
    </row>
    <row r="14" ht="67" customHeight="1">
      <c r="A14" s="5" t="n">
        <v>8</v>
      </c>
      <c r="B14" s="5" t="inlineStr">
        <is>
          <t>Từ khóa Google Search</t>
        </is>
      </c>
      <c r="C14" s="5" t="inlineStr">
        <is>
          <t>Rà soát nhu cầu tìm kiếm, từ khóa và danh sách loại trừ.</t>
        </is>
      </c>
      <c r="D14" s="43" t="inlineStr">
        <is>
          <t>Chưa xác nhận</t>
        </is>
      </c>
      <c r="E14" s="43" t="inlineStr">
        <is>
          <t>[Chưa phân công]</t>
        </is>
      </c>
      <c r="F14" s="130" t="inlineStr">
        <is>
          <t>[Chưa chốt]</t>
        </is>
      </c>
      <c r="G14" s="130" t="inlineStr">
        <is>
          <t>[Chưa chốt]</t>
        </is>
      </c>
      <c r="H14" s="43" t="n"/>
    </row>
    <row r="15" ht="67" customHeight="1">
      <c r="A15" s="5" t="n">
        <v>9</v>
      </c>
      <c r="B15" s="5" t="inlineStr">
        <is>
          <t>Nội dung truyền thông</t>
        </is>
      </c>
      <c r="C15" s="5" t="inlineStr">
        <is>
          <t>Đối chiếu thông điệp và các nội dung chuyên môn với nguồn được phép sử dụng.</t>
        </is>
      </c>
      <c r="D15" s="43" t="inlineStr">
        <is>
          <t>Chưa xác nhận</t>
        </is>
      </c>
      <c r="E15" s="43" t="inlineStr">
        <is>
          <t>[Chưa phân công]</t>
        </is>
      </c>
      <c r="F15" s="130" t="inlineStr">
        <is>
          <t>[Chưa chốt]</t>
        </is>
      </c>
      <c r="G15" s="130" t="inlineStr">
        <is>
          <t>[Chưa chốt]</t>
        </is>
      </c>
      <c r="H15" s="43" t="n"/>
    </row>
    <row r="16" ht="67" customHeight="1">
      <c r="A16" s="5" t="n">
        <v>10</v>
      </c>
      <c r="B16" s="5" t="inlineStr">
        <is>
          <t>Trang đích và lời kêu gọi hành động</t>
        </is>
      </c>
      <c r="C16" s="5" t="inlineStr">
        <is>
          <t>Kiểm tra nội dung, liên kết, hiển thị và tương tác trên các thiết bị phù hợp.</t>
        </is>
      </c>
      <c r="D16" s="43" t="inlineStr">
        <is>
          <t>Chưa xác nhận</t>
        </is>
      </c>
      <c r="E16" s="43" t="inlineStr">
        <is>
          <t>[Chưa phân công]</t>
        </is>
      </c>
      <c r="F16" s="130" t="inlineStr">
        <is>
          <t>[Chưa chốt]</t>
        </is>
      </c>
      <c r="G16" s="130" t="inlineStr">
        <is>
          <t>[Chưa chốt]</t>
        </is>
      </c>
      <c r="H16" s="43" t="n"/>
    </row>
    <row r="17" ht="67" customHeight="1">
      <c r="A17" s="5" t="n">
        <v>11</v>
      </c>
      <c r="B17" s="5" t="inlineStr">
        <is>
          <t>Hệ thống đo lường</t>
        </is>
      </c>
      <c r="C17" s="5" t="inlineStr">
        <is>
          <t>Xác minh các sự kiện cần theo dõi và khả năng đối chiếu giữa các nguồn.</t>
        </is>
      </c>
      <c r="D17" s="43" t="inlineStr">
        <is>
          <t>Chưa xác nhận</t>
        </is>
      </c>
      <c r="E17" s="43" t="inlineStr">
        <is>
          <t>[Chưa phân công]</t>
        </is>
      </c>
      <c r="F17" s="130" t="inlineStr">
        <is>
          <t>[Chưa chốt]</t>
        </is>
      </c>
      <c r="G17" s="130" t="inlineStr">
        <is>
          <t>[Chưa chốt]</t>
        </is>
      </c>
      <c r="H17" s="43" t="n"/>
    </row>
    <row r="18" ht="67" customHeight="1">
      <c r="A18" s="5" t="n">
        <v>12</v>
      </c>
      <c r="B18" s="5" t="inlineStr">
        <is>
          <t>Biểu mẫu và nơi tiếp nhận</t>
        </is>
      </c>
      <c r="C18" s="5" t="inlineStr">
        <is>
          <t>Kiểm thử gửi form, nhận bản ghi và quy trình xác minh thông tin liên hệ hợp lệ.</t>
        </is>
      </c>
      <c r="D18" s="43" t="inlineStr">
        <is>
          <t>Chưa xác nhận</t>
        </is>
      </c>
      <c r="E18" s="43" t="inlineStr">
        <is>
          <t>[Chưa phân công]</t>
        </is>
      </c>
      <c r="F18" s="130" t="inlineStr">
        <is>
          <t>[Chưa chốt]</t>
        </is>
      </c>
      <c r="G18" s="130" t="inlineStr">
        <is>
          <t>[Chưa chốt]</t>
        </is>
      </c>
      <c r="H18" s="43" t="n"/>
    </row>
    <row r="19" ht="67" customHeight="1">
      <c r="A19" s="5" t="n">
        <v>13</v>
      </c>
      <c r="B19" s="5" t="inlineStr">
        <is>
          <t>Quyền riêng tư và dữ liệu</t>
        </is>
      </c>
      <c r="C19" s="5" t="inlineStr">
        <is>
          <t>Rà soát nội dung thông báo, đồng ý và phạm vi sử dụng dữ liệu phù hợp.</t>
        </is>
      </c>
      <c r="D19" s="43" t="inlineStr">
        <is>
          <t>Chưa xác nhận</t>
        </is>
      </c>
      <c r="E19" s="43" t="inlineStr">
        <is>
          <t>[Chưa phân công]</t>
        </is>
      </c>
      <c r="F19" s="130" t="inlineStr">
        <is>
          <t>[Chưa chốt]</t>
        </is>
      </c>
      <c r="G19" s="130" t="inlineStr">
        <is>
          <t>[Chưa chốt]</t>
        </is>
      </c>
      <c r="H19" s="43" t="n"/>
    </row>
    <row r="20" ht="67" customHeight="1">
      <c r="A20" s="5" t="n">
        <v>14</v>
      </c>
      <c r="B20" s="5" t="inlineStr">
        <is>
          <t>Chỉ số và mốc đối chiếu</t>
        </is>
      </c>
      <c r="C20" s="5" t="inlineStr">
        <is>
          <t>Thống nhất chỉ số quan tâm, chỉ số cải thiện, đơn vị chi phí và cách so sánh.</t>
        </is>
      </c>
      <c r="D20" s="43" t="inlineStr">
        <is>
          <t>Chưa xác nhận</t>
        </is>
      </c>
      <c r="E20" s="43" t="inlineStr">
        <is>
          <t>[Chưa phân công]</t>
        </is>
      </c>
      <c r="F20" s="130" t="inlineStr">
        <is>
          <t>[Chưa chốt]</t>
        </is>
      </c>
      <c r="G20" s="130" t="inlineStr">
        <is>
          <t>[Chưa chốt]</t>
        </is>
      </c>
      <c r="H20" s="43" t="n"/>
    </row>
    <row r="21" ht="67" customHeight="1">
      <c r="A21" s="5" t="n">
        <v>15</v>
      </c>
      <c r="B21" s="5" t="inlineStr">
        <is>
          <t>Điều kiện tiếp thị lại</t>
        </is>
      </c>
      <c r="C21" s="5" t="inlineStr">
        <is>
          <t>Xác nhận quy mô tệp và điều kiện áp dụng, hoặc ghi Không áp dụng.</t>
        </is>
      </c>
      <c r="D21" s="43" t="inlineStr">
        <is>
          <t>Chưa xác nhận</t>
        </is>
      </c>
      <c r="E21" s="43" t="inlineStr">
        <is>
          <t>[Chưa phân công]</t>
        </is>
      </c>
      <c r="F21" s="130" t="inlineStr">
        <is>
          <t>[Chưa chốt]</t>
        </is>
      </c>
      <c r="G21" s="130" t="inlineStr">
        <is>
          <t>[Chưa chốt]</t>
        </is>
      </c>
      <c r="H21" s="43" t="n"/>
    </row>
    <row r="22" ht="67" customHeight="1">
      <c r="A22" s="5" t="n">
        <v>16</v>
      </c>
      <c r="B22" s="5" t="inlineStr">
        <is>
          <t>Báo cáo và xử lý sự cố</t>
        </is>
      </c>
      <c r="C22" s="5" t="inlineStr">
        <is>
          <t>Thống nhất kỳ báo cáo, đầu mối xử lý, cách tạm dừng hạng mục và xác minh trước khi chạy lại.</t>
        </is>
      </c>
      <c r="D22" s="43" t="inlineStr">
        <is>
          <t>Chưa xác nhận</t>
        </is>
      </c>
      <c r="E22" s="43" t="inlineStr">
        <is>
          <t>[Chưa phân công]</t>
        </is>
      </c>
      <c r="F22" s="130" t="inlineStr">
        <is>
          <t>[Chưa chốt]</t>
        </is>
      </c>
      <c r="G22" s="130" t="inlineStr">
        <is>
          <t>[Chưa chốt]</t>
        </is>
      </c>
      <c r="H22" s="43" t="n"/>
    </row>
    <row r="23" ht="22" customHeight="1">
      <c r="A23" s="5" t="n"/>
      <c r="B23" s="5" t="n"/>
      <c r="C23" s="5" t="n"/>
      <c r="D23" s="5" t="n"/>
      <c r="E23" s="5" t="n"/>
      <c r="F23" s="5" t="n"/>
      <c r="G23" s="5" t="n"/>
      <c r="H23" s="5" t="n"/>
    </row>
    <row r="24" ht="38" customHeight="1">
      <c r="A24" s="51" t="inlineStr">
        <is>
          <t>Hạng mục đã xác nhận / không áp dụng</t>
        </is>
      </c>
      <c r="B24" s="1" t="n"/>
      <c r="C24" s="1" t="n"/>
      <c r="D24" s="51">
        <f>COUNTIF(D7:D22,"Đã xác nhận")+COUNTIF(D7:D22,"Không áp dụng")</f>
        <v/>
      </c>
      <c r="E24" s="1" t="n"/>
      <c r="F24" s="67">
        <f>"Trên tổng "&amp;COUNTA(B7:B22)&amp;" hạng mục"</f>
        <v/>
      </c>
      <c r="G24" s="1" t="n"/>
      <c r="H24" s="1" t="n"/>
    </row>
    <row r="25" ht="22" customHeight="1">
      <c r="A25" s="5" t="n"/>
      <c r="B25" s="5" t="n"/>
      <c r="C25" s="5" t="n"/>
      <c r="D25" s="5" t="n"/>
      <c r="E25" s="5" t="n"/>
      <c r="F25" s="5" t="n"/>
      <c r="G25" s="5" t="n"/>
      <c r="H25" s="5" t="n"/>
    </row>
    <row r="26" ht="22" customHeight="1">
      <c r="A26" s="17" t="inlineStr">
        <is>
          <t>Hạng mục phát sinh vấn đề được theo dõi và xử lý riêng. Ngân sách liên quan được giữ lại trong quá trình khắc phục; việc chuyển sang hạng mục khác cần được xem xét theo phạm vi đã thống nhất.</t>
        </is>
      </c>
      <c r="B26" s="1" t="n"/>
      <c r="C26" s="1" t="n"/>
      <c r="D26" s="1" t="n"/>
      <c r="E26" s="1" t="n"/>
      <c r="F26" s="1" t="n"/>
      <c r="G26" s="1" t="n"/>
      <c r="H26" s="1" t="n"/>
    </row>
    <row r="27" ht="22" customHeight="1">
      <c r="A27" s="1" t="n"/>
      <c r="H27" s="1" t="n"/>
    </row>
    <row r="28" ht="22" customHeight="1">
      <c r="A28" s="1" t="n"/>
      <c r="B28" s="1" t="n"/>
      <c r="C28" s="1" t="n"/>
      <c r="D28" s="1" t="n"/>
      <c r="E28" s="1" t="n"/>
      <c r="F28" s="1" t="n"/>
      <c r="G28" s="1" t="n"/>
      <c r="H28" s="1" t="n"/>
    </row>
  </sheetData>
  <mergeCells count="6">
    <mergeCell ref="A26:H28"/>
    <mergeCell ref="A3:H4"/>
    <mergeCell ref="D24:E24"/>
    <mergeCell ref="A1:H2"/>
    <mergeCell ref="A24:C24"/>
    <mergeCell ref="F24:H24"/>
  </mergeCells>
  <conditionalFormatting sqref="D7:D22">
    <cfRule type="expression" priority="1" dxfId="0">
      <formula>D7="Đã xác nhận"</formula>
    </cfRule>
    <cfRule type="expression" priority="2" dxfId="1">
      <formula>OR(D7="Cần bổ sung",D7="Cần xem xét thêm")</formula>
    </cfRule>
  </conditionalFormatting>
  <dataValidations count="1">
    <dataValidation sqref="D7:D22" showDropDown="0" showInputMessage="0" showErrorMessage="0" allowBlank="0" type="list">
      <formula1>"Chưa xác nhận,Đang chuẩn bị,Đã xác nhận,Cần bổ sung,Không áp dụng"</formula1>
    </dataValidation>
  </dataValidation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AB104"/>
  <sheetViews>
    <sheetView showGridLines="0" workbookViewId="0">
      <pane ySplit="4" topLeftCell="A5" activePane="bottomLeft" state="frozen"/>
      <selection activeCell="A1" sqref="A1"/>
    </sheetView>
  </sheetViews>
  <sheetFormatPr baseColWidth="8" defaultRowHeight="15"/>
  <cols>
    <col width="15" customWidth="1" min="1" max="1"/>
    <col width="19" customWidth="1" min="2" max="2"/>
    <col width="18" customWidth="1" min="3" max="3"/>
    <col width="17" customWidth="1" min="4" max="4"/>
    <col width="17" customWidth="1" min="5" max="5"/>
    <col width="13" customWidth="1" min="6" max="6"/>
    <col width="22" customWidth="1" min="7" max="7"/>
    <col width="18" customWidth="1" min="8" max="8"/>
    <col width="20" customWidth="1" min="9" max="9"/>
    <col width="23" customWidth="1" min="10" max="10"/>
    <col width="26" customWidth="1" min="11" max="11"/>
    <col width="23" customWidth="1" min="12" max="12"/>
    <col width="22" customWidth="1" min="13" max="13"/>
    <col width="14" customWidth="1" min="14" max="14"/>
    <col width="19" customWidth="1" min="15" max="15"/>
    <col width="18" customWidth="1" min="16" max="16"/>
    <col width="16" customWidth="1" min="17" max="17"/>
    <col width="24" customWidth="1" min="18" max="18"/>
    <col width="35" customWidth="1" min="19" max="19"/>
    <col width="22" customWidth="1" min="20" max="20"/>
    <col width="16" customWidth="1" min="21" max="21"/>
    <col width="16" customWidth="1" min="22" max="22"/>
    <col width="16" customWidth="1" min="23" max="23"/>
    <col width="16" customWidth="1" min="24" max="24"/>
    <col width="19" customWidth="1" min="25" max="25"/>
    <col width="20" customWidth="1" min="26" max="26"/>
    <col width="20" customWidth="1" min="27" max="27"/>
    <col width="21" customWidth="1" min="28" max="28"/>
  </cols>
  <sheetData>
    <row r="1">
      <c r="A1" s="104" t="inlineStr">
        <is>
          <t>Chỉ số theo kênh và ngày</t>
        </is>
      </c>
    </row>
    <row r="2">
      <c r="A2" s="105" t="inlineStr">
        <is>
          <t>Đầu vào trống; chỉ điền số liệu thực có nguồn. Không gộp reach giữa nền tảng.</t>
        </is>
      </c>
    </row>
    <row r="3">
      <c r="A3" t="inlineStr">
        <is>
          <t>Một dòng cho mỗi ngày + kênh. 03_Chi_tieu là nguồn chi; G phải khớp nguồn. Route/Locale chỉ mô tả, ghi Mixed nếu nhiều biến thể; không lặp chi.</t>
        </is>
      </c>
    </row>
    <row r="4" ht="28" customHeight="1">
      <c r="A4" s="107" t="inlineStr">
        <is>
          <t>Ngày</t>
        </is>
      </c>
      <c r="B4" s="107" t="inlineStr">
        <is>
          <t>Kênh</t>
        </is>
      </c>
      <c r="C4" s="107" t="inlineStr">
        <is>
          <t>Route</t>
        </is>
      </c>
      <c r="D4" s="107" t="inlineStr">
        <is>
          <t>Locale</t>
        </is>
      </c>
      <c r="E4" s="107" t="inlineStr">
        <is>
          <t>Impressions</t>
        </is>
      </c>
      <c r="F4" s="107" t="inlineStr">
        <is>
          <t>Clicks</t>
        </is>
      </c>
      <c r="G4" s="107" t="inlineStr">
        <is>
          <t>Chi quảng cáo (VNĐ)</t>
        </is>
      </c>
      <c r="H4" s="107" t="inlineStr">
        <is>
          <t>Paid sessions</t>
        </is>
      </c>
      <c r="I4" s="107" t="inlineStr">
        <is>
          <t>Engaged sessions</t>
        </is>
      </c>
      <c r="J4" s="107" t="inlineStr">
        <is>
          <t>Query clicks liên quan</t>
        </is>
      </c>
      <c r="K4" s="107" t="inlineStr">
        <is>
          <t>Query clicks đã phân loại</t>
        </is>
      </c>
      <c r="L4" s="107" t="inlineStr">
        <is>
          <t>Clicks term hiển thị</t>
        </is>
      </c>
      <c r="M4" s="107" t="inlineStr">
        <is>
          <t>Tổng Search clicks</t>
        </is>
      </c>
      <c r="N4" s="107" t="inlineStr">
        <is>
          <t>CTR</t>
        </is>
      </c>
      <c r="O4" s="107" t="inlineStr">
        <is>
          <t>Engagement rate</t>
        </is>
      </c>
      <c r="P4" s="107" t="inlineStr">
        <is>
          <t>Query relevance</t>
        </is>
      </c>
      <c r="Q4" s="107" t="inlineStr">
        <is>
          <t>Term coverage</t>
        </is>
      </c>
      <c r="R4" s="107" t="inlineStr">
        <is>
          <t>Cost / engaged session</t>
        </is>
      </c>
      <c r="S4" s="107" t="inlineStr">
        <is>
          <t>Nguồn và ngày trích</t>
        </is>
      </c>
      <c r="T4" s="107" t="inlineStr">
        <is>
          <t>Trạng thái</t>
        </is>
      </c>
      <c r="U4" s="107" t="inlineStr">
        <is>
          <t>Reach</t>
        </is>
      </c>
      <c r="V4" s="107" t="inlineStr">
        <is>
          <t>CPM</t>
        </is>
      </c>
      <c r="W4" s="107" t="inlineStr">
        <is>
          <t>CPC</t>
        </is>
      </c>
      <c r="X4" s="107" t="inlineStr">
        <is>
          <t>Raw leads</t>
        </is>
      </c>
      <c r="Y4" s="107" t="inlineStr">
        <is>
          <t>Verified leads</t>
        </is>
      </c>
      <c r="Z4" s="107" t="inlineStr">
        <is>
          <t>Effective lead rate</t>
        </is>
      </c>
      <c r="AA4" s="107" t="inlineStr">
        <is>
          <t>Chi từ nhật ký</t>
        </is>
      </c>
      <c r="AB4" s="107" t="inlineStr">
        <is>
          <t>Đối chiếu chi</t>
        </is>
      </c>
    </row>
    <row r="5">
      <c r="A5" s="137" t="n"/>
      <c r="B5" s="112" t="n"/>
      <c r="C5" s="112" t="n"/>
      <c r="D5" s="112" t="n"/>
      <c r="E5" s="112" t="n"/>
      <c r="F5" s="112" t="n"/>
      <c r="G5" s="138" t="n"/>
      <c r="H5" s="112" t="n"/>
      <c r="I5" s="112" t="n"/>
      <c r="J5" s="112" t="n"/>
      <c r="K5" s="112" t="n"/>
      <c r="L5" s="112" t="n"/>
      <c r="M5" s="112" t="n"/>
      <c r="N5" s="139">
        <f>IF(OR(NOT(ISNUMBER(E5)),E5&lt;=0,NOT(ISNUMBER(F5))),"",F5/E5)</f>
        <v/>
      </c>
      <c r="O5" s="139">
        <f>IF(OR(NOT(ISNUMBER(H5)),H5&lt;=0,NOT(ISNUMBER(I5))),"",I5/H5)</f>
        <v/>
      </c>
      <c r="P5" s="139">
        <f>IF(OR(NOT(ISNUMBER(K5)),K5&lt;=0,NOT(ISNUMBER(J5))),"",J5/K5)</f>
        <v/>
      </c>
      <c r="Q5" s="139">
        <f>IF(OR(NOT(ISNUMBER(M5)),M5&lt;=0,NOT(ISNUMBER(L5))),"",L5/M5)</f>
        <v/>
      </c>
      <c r="R5" s="140">
        <f>IF(OR(NOT(ISNUMBER(I5)),I5&lt;=0,NOT(ISNUMBER(G5))),"",G5/I5)</f>
        <v/>
      </c>
      <c r="S5" s="112" t="n"/>
      <c r="T5" s="112" t="n"/>
      <c r="U5" s="112" t="n"/>
      <c r="V5" s="140">
        <f>IF(OR(NOT(ISNUMBER(E5)),E5&lt;=0,NOT(ISNUMBER(G5))),"",1000*G5/E5)</f>
        <v/>
      </c>
      <c r="W5" s="140">
        <f>IF(OR(NOT(ISNUMBER(F5)),F5&lt;=0,NOT(ISNUMBER(G5))),"",G5/F5)</f>
        <v/>
      </c>
      <c r="X5" s="112" t="n"/>
      <c r="Y5" s="112" t="n"/>
      <c r="Z5" s="139">
        <f>IF(OR(NOT(ISNUMBER(X5)),X5&lt;=0,NOT(ISNUMBER(Y5))),"",Y5/X5)</f>
        <v/>
      </c>
      <c r="AA5" s="140">
        <f>IF(OR(NOT(ISNUMBER(A5)),B5=""),"",IF(B5="LinkedIn",IF(COUNTIFS('03_Chi_tieu'!$A$7:$A$96,A5,'03_Chi_tieu'!$E$7:$E$96,"&gt;=0")=0,"",SUMIF('03_Chi_tieu'!$A$7:$A$96,A5,'03_Chi_tieu'!$E$7:$E$96)),IF(B5="Search",IF(COUNTIFS('03_Chi_tieu'!$A$7:$A$96,A5,'03_Chi_tieu'!$F$7:$F$96,"&gt;=0")=0,"",SUMIF('03_Chi_tieu'!$A$7:$A$96,A5,'03_Chi_tieu'!$F$7:$F$96)),IF(B5="Retargeting",IF(COUNTIFS('03_Chi_tieu'!$A$7:$A$96,A5,'03_Chi_tieu'!$G$7:$G$96,"&gt;=0")=0,"",SUMIF('03_Chi_tieu'!$A$7:$A$96,A5,'03_Chi_tieu'!$G$7:$G$96)),IF(B5="Other",IF(COUNTIFS('03_Chi_tieu'!$A$7:$A$96,A5,'03_Chi_tieu'!$H$7:$H$96,"&gt;=0")=0,"",SUMIF('03_Chi_tieu'!$A$7:$A$96,A5,'03_Chi_tieu'!$H$7:$H$96)),"")))))</f>
        <v/>
      </c>
      <c r="AB5">
        <f>IF(G5="","",IF(NOT(ISNUMBER(G5)),"Chi không hợp lệ",IF(OR(NOT(ISNUMBER(A5)),B5=""),"Thiếu ngày/kênh",IF(COUNTIFS($A$5:$A$104,A5,$B$5:$B$104,B5)&gt;1,"Trùng ngày/kênh",IF(AA5="","Thiếu nguồn hoặc kênh",IF(G5=AA5,"Khớp","Lệch"))))))</f>
        <v/>
      </c>
    </row>
    <row r="6">
      <c r="A6" s="137" t="n"/>
      <c r="B6" s="112" t="n"/>
      <c r="C6" s="112" t="n"/>
      <c r="D6" s="112" t="n"/>
      <c r="E6" s="112" t="n"/>
      <c r="F6" s="112" t="n"/>
      <c r="G6" s="138" t="n"/>
      <c r="H6" s="112" t="n"/>
      <c r="I6" s="112" t="n"/>
      <c r="J6" s="112" t="n"/>
      <c r="K6" s="112" t="n"/>
      <c r="L6" s="112" t="n"/>
      <c r="M6" s="112" t="n"/>
      <c r="N6" s="139">
        <f>IF(OR(NOT(ISNUMBER(E6)),E6&lt;=0,NOT(ISNUMBER(F6))),"",F6/E6)</f>
        <v/>
      </c>
      <c r="O6" s="139">
        <f>IF(OR(NOT(ISNUMBER(H6)),H6&lt;=0,NOT(ISNUMBER(I6))),"",I6/H6)</f>
        <v/>
      </c>
      <c r="P6" s="139">
        <f>IF(OR(NOT(ISNUMBER(K6)),K6&lt;=0,NOT(ISNUMBER(J6))),"",J6/K6)</f>
        <v/>
      </c>
      <c r="Q6" s="139">
        <f>IF(OR(NOT(ISNUMBER(M6)),M6&lt;=0,NOT(ISNUMBER(L6))),"",L6/M6)</f>
        <v/>
      </c>
      <c r="R6" s="140">
        <f>IF(OR(NOT(ISNUMBER(I6)),I6&lt;=0,NOT(ISNUMBER(G6))),"",G6/I6)</f>
        <v/>
      </c>
      <c r="S6" s="112" t="n"/>
      <c r="T6" s="112" t="n"/>
      <c r="U6" s="112" t="n"/>
      <c r="V6" s="140">
        <f>IF(OR(NOT(ISNUMBER(E6)),E6&lt;=0,NOT(ISNUMBER(G6))),"",1000*G6/E6)</f>
        <v/>
      </c>
      <c r="W6" s="140">
        <f>IF(OR(NOT(ISNUMBER(F6)),F6&lt;=0,NOT(ISNUMBER(G6))),"",G6/F6)</f>
        <v/>
      </c>
      <c r="X6" s="112" t="n"/>
      <c r="Y6" s="112" t="n"/>
      <c r="Z6" s="139">
        <f>IF(OR(NOT(ISNUMBER(X6)),X6&lt;=0,NOT(ISNUMBER(Y6))),"",Y6/X6)</f>
        <v/>
      </c>
      <c r="AA6" s="140">
        <f>IF(OR(NOT(ISNUMBER(A6)),B6=""),"",IF(B6="LinkedIn",IF(COUNTIFS('03_Chi_tieu'!$A$7:$A$96,A6,'03_Chi_tieu'!$E$7:$E$96,"&gt;=0")=0,"",SUMIF('03_Chi_tieu'!$A$7:$A$96,A6,'03_Chi_tieu'!$E$7:$E$96)),IF(B6="Search",IF(COUNTIFS('03_Chi_tieu'!$A$7:$A$96,A6,'03_Chi_tieu'!$F$7:$F$96,"&gt;=0")=0,"",SUMIF('03_Chi_tieu'!$A$7:$A$96,A6,'03_Chi_tieu'!$F$7:$F$96)),IF(B6="Retargeting",IF(COUNTIFS('03_Chi_tieu'!$A$7:$A$96,A6,'03_Chi_tieu'!$G$7:$G$96,"&gt;=0")=0,"",SUMIF('03_Chi_tieu'!$A$7:$A$96,A6,'03_Chi_tieu'!$G$7:$G$96)),IF(B6="Other",IF(COUNTIFS('03_Chi_tieu'!$A$7:$A$96,A6,'03_Chi_tieu'!$H$7:$H$96,"&gt;=0")=0,"",SUMIF('03_Chi_tieu'!$A$7:$A$96,A6,'03_Chi_tieu'!$H$7:$H$96)),"")))))</f>
        <v/>
      </c>
      <c r="AB6">
        <f>IF(G6="","",IF(NOT(ISNUMBER(G6)),"Chi không hợp lệ",IF(OR(NOT(ISNUMBER(A6)),B6=""),"Thiếu ngày/kênh",IF(COUNTIFS($A$5:$A$104,A6,$B$5:$B$104,B6)&gt;1,"Trùng ngày/kênh",IF(AA6="","Thiếu nguồn hoặc kênh",IF(G6=AA6,"Khớp","Lệch"))))))</f>
        <v/>
      </c>
    </row>
    <row r="7">
      <c r="A7" s="137" t="n"/>
      <c r="B7" s="112" t="n"/>
      <c r="C7" s="112" t="n"/>
      <c r="D7" s="112" t="n"/>
      <c r="E7" s="112" t="n"/>
      <c r="F7" s="112" t="n"/>
      <c r="G7" s="138" t="n"/>
      <c r="H7" s="112" t="n"/>
      <c r="I7" s="112" t="n"/>
      <c r="J7" s="112" t="n"/>
      <c r="K7" s="112" t="n"/>
      <c r="L7" s="112" t="n"/>
      <c r="M7" s="112" t="n"/>
      <c r="N7" s="139">
        <f>IF(OR(NOT(ISNUMBER(E7)),E7&lt;=0,NOT(ISNUMBER(F7))),"",F7/E7)</f>
        <v/>
      </c>
      <c r="O7" s="139">
        <f>IF(OR(NOT(ISNUMBER(H7)),H7&lt;=0,NOT(ISNUMBER(I7))),"",I7/H7)</f>
        <v/>
      </c>
      <c r="P7" s="139">
        <f>IF(OR(NOT(ISNUMBER(K7)),K7&lt;=0,NOT(ISNUMBER(J7))),"",J7/K7)</f>
        <v/>
      </c>
      <c r="Q7" s="139">
        <f>IF(OR(NOT(ISNUMBER(M7)),M7&lt;=0,NOT(ISNUMBER(L7))),"",L7/M7)</f>
        <v/>
      </c>
      <c r="R7" s="140">
        <f>IF(OR(NOT(ISNUMBER(I7)),I7&lt;=0,NOT(ISNUMBER(G7))),"",G7/I7)</f>
        <v/>
      </c>
      <c r="S7" s="112" t="n"/>
      <c r="T7" s="112" t="n"/>
      <c r="U7" s="112" t="n"/>
      <c r="V7" s="140">
        <f>IF(OR(NOT(ISNUMBER(E7)),E7&lt;=0,NOT(ISNUMBER(G7))),"",1000*G7/E7)</f>
        <v/>
      </c>
      <c r="W7" s="140">
        <f>IF(OR(NOT(ISNUMBER(F7)),F7&lt;=0,NOT(ISNUMBER(G7))),"",G7/F7)</f>
        <v/>
      </c>
      <c r="X7" s="112" t="n"/>
      <c r="Y7" s="112" t="n"/>
      <c r="Z7" s="139">
        <f>IF(OR(NOT(ISNUMBER(X7)),X7&lt;=0,NOT(ISNUMBER(Y7))),"",Y7/X7)</f>
        <v/>
      </c>
      <c r="AA7" s="140">
        <f>IF(OR(NOT(ISNUMBER(A7)),B7=""),"",IF(B7="LinkedIn",IF(COUNTIFS('03_Chi_tieu'!$A$7:$A$96,A7,'03_Chi_tieu'!$E$7:$E$96,"&gt;=0")=0,"",SUMIF('03_Chi_tieu'!$A$7:$A$96,A7,'03_Chi_tieu'!$E$7:$E$96)),IF(B7="Search",IF(COUNTIFS('03_Chi_tieu'!$A$7:$A$96,A7,'03_Chi_tieu'!$F$7:$F$96,"&gt;=0")=0,"",SUMIF('03_Chi_tieu'!$A$7:$A$96,A7,'03_Chi_tieu'!$F$7:$F$96)),IF(B7="Retargeting",IF(COUNTIFS('03_Chi_tieu'!$A$7:$A$96,A7,'03_Chi_tieu'!$G$7:$G$96,"&gt;=0")=0,"",SUMIF('03_Chi_tieu'!$A$7:$A$96,A7,'03_Chi_tieu'!$G$7:$G$96)),IF(B7="Other",IF(COUNTIFS('03_Chi_tieu'!$A$7:$A$96,A7,'03_Chi_tieu'!$H$7:$H$96,"&gt;=0")=0,"",SUMIF('03_Chi_tieu'!$A$7:$A$96,A7,'03_Chi_tieu'!$H$7:$H$96)),"")))))</f>
        <v/>
      </c>
      <c r="AB7">
        <f>IF(G7="","",IF(NOT(ISNUMBER(G7)),"Chi không hợp lệ",IF(OR(NOT(ISNUMBER(A7)),B7=""),"Thiếu ngày/kênh",IF(COUNTIFS($A$5:$A$104,A7,$B$5:$B$104,B7)&gt;1,"Trùng ngày/kênh",IF(AA7="","Thiếu nguồn hoặc kênh",IF(G7=AA7,"Khớp","Lệch"))))))</f>
        <v/>
      </c>
    </row>
    <row r="8">
      <c r="A8" s="137" t="n"/>
      <c r="B8" s="112" t="n"/>
      <c r="C8" s="112" t="n"/>
      <c r="D8" s="112" t="n"/>
      <c r="E8" s="112" t="n"/>
      <c r="F8" s="112" t="n"/>
      <c r="G8" s="138" t="n"/>
      <c r="H8" s="112" t="n"/>
      <c r="I8" s="112" t="n"/>
      <c r="J8" s="112" t="n"/>
      <c r="K8" s="112" t="n"/>
      <c r="L8" s="112" t="n"/>
      <c r="M8" s="112" t="n"/>
      <c r="N8" s="139">
        <f>IF(OR(NOT(ISNUMBER(E8)),E8&lt;=0,NOT(ISNUMBER(F8))),"",F8/E8)</f>
        <v/>
      </c>
      <c r="O8" s="139">
        <f>IF(OR(NOT(ISNUMBER(H8)),H8&lt;=0,NOT(ISNUMBER(I8))),"",I8/H8)</f>
        <v/>
      </c>
      <c r="P8" s="139">
        <f>IF(OR(NOT(ISNUMBER(K8)),K8&lt;=0,NOT(ISNUMBER(J8))),"",J8/K8)</f>
        <v/>
      </c>
      <c r="Q8" s="139">
        <f>IF(OR(NOT(ISNUMBER(M8)),M8&lt;=0,NOT(ISNUMBER(L8))),"",L8/M8)</f>
        <v/>
      </c>
      <c r="R8" s="140">
        <f>IF(OR(NOT(ISNUMBER(I8)),I8&lt;=0,NOT(ISNUMBER(G8))),"",G8/I8)</f>
        <v/>
      </c>
      <c r="S8" s="112" t="n"/>
      <c r="T8" s="112" t="n"/>
      <c r="U8" s="112" t="n"/>
      <c r="V8" s="140">
        <f>IF(OR(NOT(ISNUMBER(E8)),E8&lt;=0,NOT(ISNUMBER(G8))),"",1000*G8/E8)</f>
        <v/>
      </c>
      <c r="W8" s="140">
        <f>IF(OR(NOT(ISNUMBER(F8)),F8&lt;=0,NOT(ISNUMBER(G8))),"",G8/F8)</f>
        <v/>
      </c>
      <c r="X8" s="112" t="n"/>
      <c r="Y8" s="112" t="n"/>
      <c r="Z8" s="139">
        <f>IF(OR(NOT(ISNUMBER(X8)),X8&lt;=0,NOT(ISNUMBER(Y8))),"",Y8/X8)</f>
        <v/>
      </c>
      <c r="AA8" s="140">
        <f>IF(OR(NOT(ISNUMBER(A8)),B8=""),"",IF(B8="LinkedIn",IF(COUNTIFS('03_Chi_tieu'!$A$7:$A$96,A8,'03_Chi_tieu'!$E$7:$E$96,"&gt;=0")=0,"",SUMIF('03_Chi_tieu'!$A$7:$A$96,A8,'03_Chi_tieu'!$E$7:$E$96)),IF(B8="Search",IF(COUNTIFS('03_Chi_tieu'!$A$7:$A$96,A8,'03_Chi_tieu'!$F$7:$F$96,"&gt;=0")=0,"",SUMIF('03_Chi_tieu'!$A$7:$A$96,A8,'03_Chi_tieu'!$F$7:$F$96)),IF(B8="Retargeting",IF(COUNTIFS('03_Chi_tieu'!$A$7:$A$96,A8,'03_Chi_tieu'!$G$7:$G$96,"&gt;=0")=0,"",SUMIF('03_Chi_tieu'!$A$7:$A$96,A8,'03_Chi_tieu'!$G$7:$G$96)),IF(B8="Other",IF(COUNTIFS('03_Chi_tieu'!$A$7:$A$96,A8,'03_Chi_tieu'!$H$7:$H$96,"&gt;=0")=0,"",SUMIF('03_Chi_tieu'!$A$7:$A$96,A8,'03_Chi_tieu'!$H$7:$H$96)),"")))))</f>
        <v/>
      </c>
      <c r="AB8">
        <f>IF(G8="","",IF(NOT(ISNUMBER(G8)),"Chi không hợp lệ",IF(OR(NOT(ISNUMBER(A8)),B8=""),"Thiếu ngày/kênh",IF(COUNTIFS($A$5:$A$104,A8,$B$5:$B$104,B8)&gt;1,"Trùng ngày/kênh",IF(AA8="","Thiếu nguồn hoặc kênh",IF(G8=AA8,"Khớp","Lệch"))))))</f>
        <v/>
      </c>
    </row>
    <row r="9">
      <c r="A9" s="137" t="n"/>
      <c r="B9" s="112" t="n"/>
      <c r="C9" s="112" t="n"/>
      <c r="D9" s="112" t="n"/>
      <c r="E9" s="112" t="n"/>
      <c r="F9" s="112" t="n"/>
      <c r="G9" s="138" t="n"/>
      <c r="H9" s="112" t="n"/>
      <c r="I9" s="112" t="n"/>
      <c r="J9" s="112" t="n"/>
      <c r="K9" s="112" t="n"/>
      <c r="L9" s="112" t="n"/>
      <c r="M9" s="112" t="n"/>
      <c r="N9" s="139">
        <f>IF(OR(NOT(ISNUMBER(E9)),E9&lt;=0,NOT(ISNUMBER(F9))),"",F9/E9)</f>
        <v/>
      </c>
      <c r="O9" s="139">
        <f>IF(OR(NOT(ISNUMBER(H9)),H9&lt;=0,NOT(ISNUMBER(I9))),"",I9/H9)</f>
        <v/>
      </c>
      <c r="P9" s="139">
        <f>IF(OR(NOT(ISNUMBER(K9)),K9&lt;=0,NOT(ISNUMBER(J9))),"",J9/K9)</f>
        <v/>
      </c>
      <c r="Q9" s="139">
        <f>IF(OR(NOT(ISNUMBER(M9)),M9&lt;=0,NOT(ISNUMBER(L9))),"",L9/M9)</f>
        <v/>
      </c>
      <c r="R9" s="140">
        <f>IF(OR(NOT(ISNUMBER(I9)),I9&lt;=0,NOT(ISNUMBER(G9))),"",G9/I9)</f>
        <v/>
      </c>
      <c r="S9" s="112" t="n"/>
      <c r="T9" s="112" t="n"/>
      <c r="U9" s="112" t="n"/>
      <c r="V9" s="140">
        <f>IF(OR(NOT(ISNUMBER(E9)),E9&lt;=0,NOT(ISNUMBER(G9))),"",1000*G9/E9)</f>
        <v/>
      </c>
      <c r="W9" s="140">
        <f>IF(OR(NOT(ISNUMBER(F9)),F9&lt;=0,NOT(ISNUMBER(G9))),"",G9/F9)</f>
        <v/>
      </c>
      <c r="X9" s="112" t="n"/>
      <c r="Y9" s="112" t="n"/>
      <c r="Z9" s="139">
        <f>IF(OR(NOT(ISNUMBER(X9)),X9&lt;=0,NOT(ISNUMBER(Y9))),"",Y9/X9)</f>
        <v/>
      </c>
      <c r="AA9" s="140">
        <f>IF(OR(NOT(ISNUMBER(A9)),B9=""),"",IF(B9="LinkedIn",IF(COUNTIFS('03_Chi_tieu'!$A$7:$A$96,A9,'03_Chi_tieu'!$E$7:$E$96,"&gt;=0")=0,"",SUMIF('03_Chi_tieu'!$A$7:$A$96,A9,'03_Chi_tieu'!$E$7:$E$96)),IF(B9="Search",IF(COUNTIFS('03_Chi_tieu'!$A$7:$A$96,A9,'03_Chi_tieu'!$F$7:$F$96,"&gt;=0")=0,"",SUMIF('03_Chi_tieu'!$A$7:$A$96,A9,'03_Chi_tieu'!$F$7:$F$96)),IF(B9="Retargeting",IF(COUNTIFS('03_Chi_tieu'!$A$7:$A$96,A9,'03_Chi_tieu'!$G$7:$G$96,"&gt;=0")=0,"",SUMIF('03_Chi_tieu'!$A$7:$A$96,A9,'03_Chi_tieu'!$G$7:$G$96)),IF(B9="Other",IF(COUNTIFS('03_Chi_tieu'!$A$7:$A$96,A9,'03_Chi_tieu'!$H$7:$H$96,"&gt;=0")=0,"",SUMIF('03_Chi_tieu'!$A$7:$A$96,A9,'03_Chi_tieu'!$H$7:$H$96)),"")))))</f>
        <v/>
      </c>
      <c r="AB9">
        <f>IF(G9="","",IF(NOT(ISNUMBER(G9)),"Chi không hợp lệ",IF(OR(NOT(ISNUMBER(A9)),B9=""),"Thiếu ngày/kênh",IF(COUNTIFS($A$5:$A$104,A9,$B$5:$B$104,B9)&gt;1,"Trùng ngày/kênh",IF(AA9="","Thiếu nguồn hoặc kênh",IF(G9=AA9,"Khớp","Lệch"))))))</f>
        <v/>
      </c>
    </row>
    <row r="10">
      <c r="A10" s="137" t="n"/>
      <c r="B10" s="112" t="n"/>
      <c r="C10" s="112" t="n"/>
      <c r="D10" s="112" t="n"/>
      <c r="E10" s="112" t="n"/>
      <c r="F10" s="112" t="n"/>
      <c r="G10" s="138" t="n"/>
      <c r="H10" s="112" t="n"/>
      <c r="I10" s="112" t="n"/>
      <c r="J10" s="112" t="n"/>
      <c r="K10" s="112" t="n"/>
      <c r="L10" s="112" t="n"/>
      <c r="M10" s="112" t="n"/>
      <c r="N10" s="139">
        <f>IF(OR(NOT(ISNUMBER(E10)),E10&lt;=0,NOT(ISNUMBER(F10))),"",F10/E10)</f>
        <v/>
      </c>
      <c r="O10" s="139">
        <f>IF(OR(NOT(ISNUMBER(H10)),H10&lt;=0,NOT(ISNUMBER(I10))),"",I10/H10)</f>
        <v/>
      </c>
      <c r="P10" s="139">
        <f>IF(OR(NOT(ISNUMBER(K10)),K10&lt;=0,NOT(ISNUMBER(J10))),"",J10/K10)</f>
        <v/>
      </c>
      <c r="Q10" s="139">
        <f>IF(OR(NOT(ISNUMBER(M10)),M10&lt;=0,NOT(ISNUMBER(L10))),"",L10/M10)</f>
        <v/>
      </c>
      <c r="R10" s="140">
        <f>IF(OR(NOT(ISNUMBER(I10)),I10&lt;=0,NOT(ISNUMBER(G10))),"",G10/I10)</f>
        <v/>
      </c>
      <c r="S10" s="112" t="n"/>
      <c r="T10" s="112" t="n"/>
      <c r="U10" s="112" t="n"/>
      <c r="V10" s="140">
        <f>IF(OR(NOT(ISNUMBER(E10)),E10&lt;=0,NOT(ISNUMBER(G10))),"",1000*G10/E10)</f>
        <v/>
      </c>
      <c r="W10" s="140">
        <f>IF(OR(NOT(ISNUMBER(F10)),F10&lt;=0,NOT(ISNUMBER(G10))),"",G10/F10)</f>
        <v/>
      </c>
      <c r="X10" s="112" t="n"/>
      <c r="Y10" s="112" t="n"/>
      <c r="Z10" s="139">
        <f>IF(OR(NOT(ISNUMBER(X10)),X10&lt;=0,NOT(ISNUMBER(Y10))),"",Y10/X10)</f>
        <v/>
      </c>
      <c r="AA10" s="140">
        <f>IF(OR(NOT(ISNUMBER(A10)),B10=""),"",IF(B10="LinkedIn",IF(COUNTIFS('03_Chi_tieu'!$A$7:$A$96,A10,'03_Chi_tieu'!$E$7:$E$96,"&gt;=0")=0,"",SUMIF('03_Chi_tieu'!$A$7:$A$96,A10,'03_Chi_tieu'!$E$7:$E$96)),IF(B10="Search",IF(COUNTIFS('03_Chi_tieu'!$A$7:$A$96,A10,'03_Chi_tieu'!$F$7:$F$96,"&gt;=0")=0,"",SUMIF('03_Chi_tieu'!$A$7:$A$96,A10,'03_Chi_tieu'!$F$7:$F$96)),IF(B10="Retargeting",IF(COUNTIFS('03_Chi_tieu'!$A$7:$A$96,A10,'03_Chi_tieu'!$G$7:$G$96,"&gt;=0")=0,"",SUMIF('03_Chi_tieu'!$A$7:$A$96,A10,'03_Chi_tieu'!$G$7:$G$96)),IF(B10="Other",IF(COUNTIFS('03_Chi_tieu'!$A$7:$A$96,A10,'03_Chi_tieu'!$H$7:$H$96,"&gt;=0")=0,"",SUMIF('03_Chi_tieu'!$A$7:$A$96,A10,'03_Chi_tieu'!$H$7:$H$96)),"")))))</f>
        <v/>
      </c>
      <c r="AB10">
        <f>IF(G10="","",IF(NOT(ISNUMBER(G10)),"Chi không hợp lệ",IF(OR(NOT(ISNUMBER(A10)),B10=""),"Thiếu ngày/kênh",IF(COUNTIFS($A$5:$A$104,A10,$B$5:$B$104,B10)&gt;1,"Trùng ngày/kênh",IF(AA10="","Thiếu nguồn hoặc kênh",IF(G10=AA10,"Khớp","Lệch"))))))</f>
        <v/>
      </c>
    </row>
    <row r="11">
      <c r="A11" s="137" t="n"/>
      <c r="B11" s="112" t="n"/>
      <c r="C11" s="112" t="n"/>
      <c r="D11" s="112" t="n"/>
      <c r="E11" s="112" t="n"/>
      <c r="F11" s="112" t="n"/>
      <c r="G11" s="138" t="n"/>
      <c r="H11" s="112" t="n"/>
      <c r="I11" s="112" t="n"/>
      <c r="J11" s="112" t="n"/>
      <c r="K11" s="112" t="n"/>
      <c r="L11" s="112" t="n"/>
      <c r="M11" s="112" t="n"/>
      <c r="N11" s="139">
        <f>IF(OR(NOT(ISNUMBER(E11)),E11&lt;=0,NOT(ISNUMBER(F11))),"",F11/E11)</f>
        <v/>
      </c>
      <c r="O11" s="139">
        <f>IF(OR(NOT(ISNUMBER(H11)),H11&lt;=0,NOT(ISNUMBER(I11))),"",I11/H11)</f>
        <v/>
      </c>
      <c r="P11" s="139">
        <f>IF(OR(NOT(ISNUMBER(K11)),K11&lt;=0,NOT(ISNUMBER(J11))),"",J11/K11)</f>
        <v/>
      </c>
      <c r="Q11" s="139">
        <f>IF(OR(NOT(ISNUMBER(M11)),M11&lt;=0,NOT(ISNUMBER(L11))),"",L11/M11)</f>
        <v/>
      </c>
      <c r="R11" s="140">
        <f>IF(OR(NOT(ISNUMBER(I11)),I11&lt;=0,NOT(ISNUMBER(G11))),"",G11/I11)</f>
        <v/>
      </c>
      <c r="S11" s="112" t="n"/>
      <c r="T11" s="112" t="n"/>
      <c r="U11" s="112" t="n"/>
      <c r="V11" s="140">
        <f>IF(OR(NOT(ISNUMBER(E11)),E11&lt;=0,NOT(ISNUMBER(G11))),"",1000*G11/E11)</f>
        <v/>
      </c>
      <c r="W11" s="140">
        <f>IF(OR(NOT(ISNUMBER(F11)),F11&lt;=0,NOT(ISNUMBER(G11))),"",G11/F11)</f>
        <v/>
      </c>
      <c r="X11" s="112" t="n"/>
      <c r="Y11" s="112" t="n"/>
      <c r="Z11" s="139">
        <f>IF(OR(NOT(ISNUMBER(X11)),X11&lt;=0,NOT(ISNUMBER(Y11))),"",Y11/X11)</f>
        <v/>
      </c>
      <c r="AA11" s="140">
        <f>IF(OR(NOT(ISNUMBER(A11)),B11=""),"",IF(B11="LinkedIn",IF(COUNTIFS('03_Chi_tieu'!$A$7:$A$96,A11,'03_Chi_tieu'!$E$7:$E$96,"&gt;=0")=0,"",SUMIF('03_Chi_tieu'!$A$7:$A$96,A11,'03_Chi_tieu'!$E$7:$E$96)),IF(B11="Search",IF(COUNTIFS('03_Chi_tieu'!$A$7:$A$96,A11,'03_Chi_tieu'!$F$7:$F$96,"&gt;=0")=0,"",SUMIF('03_Chi_tieu'!$A$7:$A$96,A11,'03_Chi_tieu'!$F$7:$F$96)),IF(B11="Retargeting",IF(COUNTIFS('03_Chi_tieu'!$A$7:$A$96,A11,'03_Chi_tieu'!$G$7:$G$96,"&gt;=0")=0,"",SUMIF('03_Chi_tieu'!$A$7:$A$96,A11,'03_Chi_tieu'!$G$7:$G$96)),IF(B11="Other",IF(COUNTIFS('03_Chi_tieu'!$A$7:$A$96,A11,'03_Chi_tieu'!$H$7:$H$96,"&gt;=0")=0,"",SUMIF('03_Chi_tieu'!$A$7:$A$96,A11,'03_Chi_tieu'!$H$7:$H$96)),"")))))</f>
        <v/>
      </c>
      <c r="AB11">
        <f>IF(G11="","",IF(NOT(ISNUMBER(G11)),"Chi không hợp lệ",IF(OR(NOT(ISNUMBER(A11)),B11=""),"Thiếu ngày/kênh",IF(COUNTIFS($A$5:$A$104,A11,$B$5:$B$104,B11)&gt;1,"Trùng ngày/kênh",IF(AA11="","Thiếu nguồn hoặc kênh",IF(G11=AA11,"Khớp","Lệch"))))))</f>
        <v/>
      </c>
    </row>
    <row r="12">
      <c r="A12" s="137" t="n"/>
      <c r="B12" s="112" t="n"/>
      <c r="C12" s="112" t="n"/>
      <c r="D12" s="112" t="n"/>
      <c r="E12" s="112" t="n"/>
      <c r="F12" s="112" t="n"/>
      <c r="G12" s="138" t="n"/>
      <c r="H12" s="112" t="n"/>
      <c r="I12" s="112" t="n"/>
      <c r="J12" s="112" t="n"/>
      <c r="K12" s="112" t="n"/>
      <c r="L12" s="112" t="n"/>
      <c r="M12" s="112" t="n"/>
      <c r="N12" s="139">
        <f>IF(OR(NOT(ISNUMBER(E12)),E12&lt;=0,NOT(ISNUMBER(F12))),"",F12/E12)</f>
        <v/>
      </c>
      <c r="O12" s="139">
        <f>IF(OR(NOT(ISNUMBER(H12)),H12&lt;=0,NOT(ISNUMBER(I12))),"",I12/H12)</f>
        <v/>
      </c>
      <c r="P12" s="139">
        <f>IF(OR(NOT(ISNUMBER(K12)),K12&lt;=0,NOT(ISNUMBER(J12))),"",J12/K12)</f>
        <v/>
      </c>
      <c r="Q12" s="139">
        <f>IF(OR(NOT(ISNUMBER(M12)),M12&lt;=0,NOT(ISNUMBER(L12))),"",L12/M12)</f>
        <v/>
      </c>
      <c r="R12" s="140">
        <f>IF(OR(NOT(ISNUMBER(I12)),I12&lt;=0,NOT(ISNUMBER(G12))),"",G12/I12)</f>
        <v/>
      </c>
      <c r="S12" s="112" t="n"/>
      <c r="T12" s="112" t="n"/>
      <c r="U12" s="112" t="n"/>
      <c r="V12" s="140">
        <f>IF(OR(NOT(ISNUMBER(E12)),E12&lt;=0,NOT(ISNUMBER(G12))),"",1000*G12/E12)</f>
        <v/>
      </c>
      <c r="W12" s="140">
        <f>IF(OR(NOT(ISNUMBER(F12)),F12&lt;=0,NOT(ISNUMBER(G12))),"",G12/F12)</f>
        <v/>
      </c>
      <c r="X12" s="112" t="n"/>
      <c r="Y12" s="112" t="n"/>
      <c r="Z12" s="139">
        <f>IF(OR(NOT(ISNUMBER(X12)),X12&lt;=0,NOT(ISNUMBER(Y12))),"",Y12/X12)</f>
        <v/>
      </c>
      <c r="AA12" s="140">
        <f>IF(OR(NOT(ISNUMBER(A12)),B12=""),"",IF(B12="LinkedIn",IF(COUNTIFS('03_Chi_tieu'!$A$7:$A$96,A12,'03_Chi_tieu'!$E$7:$E$96,"&gt;=0")=0,"",SUMIF('03_Chi_tieu'!$A$7:$A$96,A12,'03_Chi_tieu'!$E$7:$E$96)),IF(B12="Search",IF(COUNTIFS('03_Chi_tieu'!$A$7:$A$96,A12,'03_Chi_tieu'!$F$7:$F$96,"&gt;=0")=0,"",SUMIF('03_Chi_tieu'!$A$7:$A$96,A12,'03_Chi_tieu'!$F$7:$F$96)),IF(B12="Retargeting",IF(COUNTIFS('03_Chi_tieu'!$A$7:$A$96,A12,'03_Chi_tieu'!$G$7:$G$96,"&gt;=0")=0,"",SUMIF('03_Chi_tieu'!$A$7:$A$96,A12,'03_Chi_tieu'!$G$7:$G$96)),IF(B12="Other",IF(COUNTIFS('03_Chi_tieu'!$A$7:$A$96,A12,'03_Chi_tieu'!$H$7:$H$96,"&gt;=0")=0,"",SUMIF('03_Chi_tieu'!$A$7:$A$96,A12,'03_Chi_tieu'!$H$7:$H$96)),"")))))</f>
        <v/>
      </c>
      <c r="AB12">
        <f>IF(G12="","",IF(NOT(ISNUMBER(G12)),"Chi không hợp lệ",IF(OR(NOT(ISNUMBER(A12)),B12=""),"Thiếu ngày/kênh",IF(COUNTIFS($A$5:$A$104,A12,$B$5:$B$104,B12)&gt;1,"Trùng ngày/kênh",IF(AA12="","Thiếu nguồn hoặc kênh",IF(G12=AA12,"Khớp","Lệch"))))))</f>
        <v/>
      </c>
    </row>
    <row r="13">
      <c r="A13" s="137" t="n"/>
      <c r="B13" s="112" t="n"/>
      <c r="C13" s="112" t="n"/>
      <c r="D13" s="112" t="n"/>
      <c r="E13" s="112" t="n"/>
      <c r="F13" s="112" t="n"/>
      <c r="G13" s="138" t="n"/>
      <c r="H13" s="112" t="n"/>
      <c r="I13" s="112" t="n"/>
      <c r="J13" s="112" t="n"/>
      <c r="K13" s="112" t="n"/>
      <c r="L13" s="112" t="n"/>
      <c r="M13" s="112" t="n"/>
      <c r="N13" s="139">
        <f>IF(OR(NOT(ISNUMBER(E13)),E13&lt;=0,NOT(ISNUMBER(F13))),"",F13/E13)</f>
        <v/>
      </c>
      <c r="O13" s="139">
        <f>IF(OR(NOT(ISNUMBER(H13)),H13&lt;=0,NOT(ISNUMBER(I13))),"",I13/H13)</f>
        <v/>
      </c>
      <c r="P13" s="139">
        <f>IF(OR(NOT(ISNUMBER(K13)),K13&lt;=0,NOT(ISNUMBER(J13))),"",J13/K13)</f>
        <v/>
      </c>
      <c r="Q13" s="139">
        <f>IF(OR(NOT(ISNUMBER(M13)),M13&lt;=0,NOT(ISNUMBER(L13))),"",L13/M13)</f>
        <v/>
      </c>
      <c r="R13" s="140">
        <f>IF(OR(NOT(ISNUMBER(I13)),I13&lt;=0,NOT(ISNUMBER(G13))),"",G13/I13)</f>
        <v/>
      </c>
      <c r="S13" s="112" t="n"/>
      <c r="T13" s="112" t="n"/>
      <c r="U13" s="112" t="n"/>
      <c r="V13" s="140">
        <f>IF(OR(NOT(ISNUMBER(E13)),E13&lt;=0,NOT(ISNUMBER(G13))),"",1000*G13/E13)</f>
        <v/>
      </c>
      <c r="W13" s="140">
        <f>IF(OR(NOT(ISNUMBER(F13)),F13&lt;=0,NOT(ISNUMBER(G13))),"",G13/F13)</f>
        <v/>
      </c>
      <c r="X13" s="112" t="n"/>
      <c r="Y13" s="112" t="n"/>
      <c r="Z13" s="139">
        <f>IF(OR(NOT(ISNUMBER(X13)),X13&lt;=0,NOT(ISNUMBER(Y13))),"",Y13/X13)</f>
        <v/>
      </c>
      <c r="AA13" s="140">
        <f>IF(OR(NOT(ISNUMBER(A13)),B13=""),"",IF(B13="LinkedIn",IF(COUNTIFS('03_Chi_tieu'!$A$7:$A$96,A13,'03_Chi_tieu'!$E$7:$E$96,"&gt;=0")=0,"",SUMIF('03_Chi_tieu'!$A$7:$A$96,A13,'03_Chi_tieu'!$E$7:$E$96)),IF(B13="Search",IF(COUNTIFS('03_Chi_tieu'!$A$7:$A$96,A13,'03_Chi_tieu'!$F$7:$F$96,"&gt;=0")=0,"",SUMIF('03_Chi_tieu'!$A$7:$A$96,A13,'03_Chi_tieu'!$F$7:$F$96)),IF(B13="Retargeting",IF(COUNTIFS('03_Chi_tieu'!$A$7:$A$96,A13,'03_Chi_tieu'!$G$7:$G$96,"&gt;=0")=0,"",SUMIF('03_Chi_tieu'!$A$7:$A$96,A13,'03_Chi_tieu'!$G$7:$G$96)),IF(B13="Other",IF(COUNTIFS('03_Chi_tieu'!$A$7:$A$96,A13,'03_Chi_tieu'!$H$7:$H$96,"&gt;=0")=0,"",SUMIF('03_Chi_tieu'!$A$7:$A$96,A13,'03_Chi_tieu'!$H$7:$H$96)),"")))))</f>
        <v/>
      </c>
      <c r="AB13">
        <f>IF(G13="","",IF(NOT(ISNUMBER(G13)),"Chi không hợp lệ",IF(OR(NOT(ISNUMBER(A13)),B13=""),"Thiếu ngày/kênh",IF(COUNTIFS($A$5:$A$104,A13,$B$5:$B$104,B13)&gt;1,"Trùng ngày/kênh",IF(AA13="","Thiếu nguồn hoặc kênh",IF(G13=AA13,"Khớp","Lệch"))))))</f>
        <v/>
      </c>
    </row>
    <row r="14">
      <c r="A14" s="137" t="n"/>
      <c r="B14" s="112" t="n"/>
      <c r="C14" s="112" t="n"/>
      <c r="D14" s="112" t="n"/>
      <c r="E14" s="112" t="n"/>
      <c r="F14" s="112" t="n"/>
      <c r="G14" s="138" t="n"/>
      <c r="H14" s="112" t="n"/>
      <c r="I14" s="112" t="n"/>
      <c r="J14" s="112" t="n"/>
      <c r="K14" s="112" t="n"/>
      <c r="L14" s="112" t="n"/>
      <c r="M14" s="112" t="n"/>
      <c r="N14" s="139">
        <f>IF(OR(NOT(ISNUMBER(E14)),E14&lt;=0,NOT(ISNUMBER(F14))),"",F14/E14)</f>
        <v/>
      </c>
      <c r="O14" s="139">
        <f>IF(OR(NOT(ISNUMBER(H14)),H14&lt;=0,NOT(ISNUMBER(I14))),"",I14/H14)</f>
        <v/>
      </c>
      <c r="P14" s="139">
        <f>IF(OR(NOT(ISNUMBER(K14)),K14&lt;=0,NOT(ISNUMBER(J14))),"",J14/K14)</f>
        <v/>
      </c>
      <c r="Q14" s="139">
        <f>IF(OR(NOT(ISNUMBER(M14)),M14&lt;=0,NOT(ISNUMBER(L14))),"",L14/M14)</f>
        <v/>
      </c>
      <c r="R14" s="140">
        <f>IF(OR(NOT(ISNUMBER(I14)),I14&lt;=0,NOT(ISNUMBER(G14))),"",G14/I14)</f>
        <v/>
      </c>
      <c r="S14" s="112" t="n"/>
      <c r="T14" s="112" t="n"/>
      <c r="U14" s="112" t="n"/>
      <c r="V14" s="140">
        <f>IF(OR(NOT(ISNUMBER(E14)),E14&lt;=0,NOT(ISNUMBER(G14))),"",1000*G14/E14)</f>
        <v/>
      </c>
      <c r="W14" s="140">
        <f>IF(OR(NOT(ISNUMBER(F14)),F14&lt;=0,NOT(ISNUMBER(G14))),"",G14/F14)</f>
        <v/>
      </c>
      <c r="X14" s="112" t="n"/>
      <c r="Y14" s="112" t="n"/>
      <c r="Z14" s="139">
        <f>IF(OR(NOT(ISNUMBER(X14)),X14&lt;=0,NOT(ISNUMBER(Y14))),"",Y14/X14)</f>
        <v/>
      </c>
      <c r="AA14" s="140">
        <f>IF(OR(NOT(ISNUMBER(A14)),B14=""),"",IF(B14="LinkedIn",IF(COUNTIFS('03_Chi_tieu'!$A$7:$A$96,A14,'03_Chi_tieu'!$E$7:$E$96,"&gt;=0")=0,"",SUMIF('03_Chi_tieu'!$A$7:$A$96,A14,'03_Chi_tieu'!$E$7:$E$96)),IF(B14="Search",IF(COUNTIFS('03_Chi_tieu'!$A$7:$A$96,A14,'03_Chi_tieu'!$F$7:$F$96,"&gt;=0")=0,"",SUMIF('03_Chi_tieu'!$A$7:$A$96,A14,'03_Chi_tieu'!$F$7:$F$96)),IF(B14="Retargeting",IF(COUNTIFS('03_Chi_tieu'!$A$7:$A$96,A14,'03_Chi_tieu'!$G$7:$G$96,"&gt;=0")=0,"",SUMIF('03_Chi_tieu'!$A$7:$A$96,A14,'03_Chi_tieu'!$G$7:$G$96)),IF(B14="Other",IF(COUNTIFS('03_Chi_tieu'!$A$7:$A$96,A14,'03_Chi_tieu'!$H$7:$H$96,"&gt;=0")=0,"",SUMIF('03_Chi_tieu'!$A$7:$A$96,A14,'03_Chi_tieu'!$H$7:$H$96)),"")))))</f>
        <v/>
      </c>
      <c r="AB14">
        <f>IF(G14="","",IF(NOT(ISNUMBER(G14)),"Chi không hợp lệ",IF(OR(NOT(ISNUMBER(A14)),B14=""),"Thiếu ngày/kênh",IF(COUNTIFS($A$5:$A$104,A14,$B$5:$B$104,B14)&gt;1,"Trùng ngày/kênh",IF(AA14="","Thiếu nguồn hoặc kênh",IF(G14=AA14,"Khớp","Lệch"))))))</f>
        <v/>
      </c>
    </row>
    <row r="15">
      <c r="A15" s="137" t="n"/>
      <c r="B15" s="112" t="n"/>
      <c r="C15" s="112" t="n"/>
      <c r="D15" s="112" t="n"/>
      <c r="E15" s="112" t="n"/>
      <c r="F15" s="112" t="n"/>
      <c r="G15" s="138" t="n"/>
      <c r="H15" s="112" t="n"/>
      <c r="I15" s="112" t="n"/>
      <c r="J15" s="112" t="n"/>
      <c r="K15" s="112" t="n"/>
      <c r="L15" s="112" t="n"/>
      <c r="M15" s="112" t="n"/>
      <c r="N15" s="139">
        <f>IF(OR(NOT(ISNUMBER(E15)),E15&lt;=0,NOT(ISNUMBER(F15))),"",F15/E15)</f>
        <v/>
      </c>
      <c r="O15" s="139">
        <f>IF(OR(NOT(ISNUMBER(H15)),H15&lt;=0,NOT(ISNUMBER(I15))),"",I15/H15)</f>
        <v/>
      </c>
      <c r="P15" s="139">
        <f>IF(OR(NOT(ISNUMBER(K15)),K15&lt;=0,NOT(ISNUMBER(J15))),"",J15/K15)</f>
        <v/>
      </c>
      <c r="Q15" s="139">
        <f>IF(OR(NOT(ISNUMBER(M15)),M15&lt;=0,NOT(ISNUMBER(L15))),"",L15/M15)</f>
        <v/>
      </c>
      <c r="R15" s="140">
        <f>IF(OR(NOT(ISNUMBER(I15)),I15&lt;=0,NOT(ISNUMBER(G15))),"",G15/I15)</f>
        <v/>
      </c>
      <c r="S15" s="112" t="n"/>
      <c r="T15" s="112" t="n"/>
      <c r="U15" s="112" t="n"/>
      <c r="V15" s="140">
        <f>IF(OR(NOT(ISNUMBER(E15)),E15&lt;=0,NOT(ISNUMBER(G15))),"",1000*G15/E15)</f>
        <v/>
      </c>
      <c r="W15" s="140">
        <f>IF(OR(NOT(ISNUMBER(F15)),F15&lt;=0,NOT(ISNUMBER(G15))),"",G15/F15)</f>
        <v/>
      </c>
      <c r="X15" s="112" t="n"/>
      <c r="Y15" s="112" t="n"/>
      <c r="Z15" s="139">
        <f>IF(OR(NOT(ISNUMBER(X15)),X15&lt;=0,NOT(ISNUMBER(Y15))),"",Y15/X15)</f>
        <v/>
      </c>
      <c r="AA15" s="140">
        <f>IF(OR(NOT(ISNUMBER(A15)),B15=""),"",IF(B15="LinkedIn",IF(COUNTIFS('03_Chi_tieu'!$A$7:$A$96,A15,'03_Chi_tieu'!$E$7:$E$96,"&gt;=0")=0,"",SUMIF('03_Chi_tieu'!$A$7:$A$96,A15,'03_Chi_tieu'!$E$7:$E$96)),IF(B15="Search",IF(COUNTIFS('03_Chi_tieu'!$A$7:$A$96,A15,'03_Chi_tieu'!$F$7:$F$96,"&gt;=0")=0,"",SUMIF('03_Chi_tieu'!$A$7:$A$96,A15,'03_Chi_tieu'!$F$7:$F$96)),IF(B15="Retargeting",IF(COUNTIFS('03_Chi_tieu'!$A$7:$A$96,A15,'03_Chi_tieu'!$G$7:$G$96,"&gt;=0")=0,"",SUMIF('03_Chi_tieu'!$A$7:$A$96,A15,'03_Chi_tieu'!$G$7:$G$96)),IF(B15="Other",IF(COUNTIFS('03_Chi_tieu'!$A$7:$A$96,A15,'03_Chi_tieu'!$H$7:$H$96,"&gt;=0")=0,"",SUMIF('03_Chi_tieu'!$A$7:$A$96,A15,'03_Chi_tieu'!$H$7:$H$96)),"")))))</f>
        <v/>
      </c>
      <c r="AB15">
        <f>IF(G15="","",IF(NOT(ISNUMBER(G15)),"Chi không hợp lệ",IF(OR(NOT(ISNUMBER(A15)),B15=""),"Thiếu ngày/kênh",IF(COUNTIFS($A$5:$A$104,A15,$B$5:$B$104,B15)&gt;1,"Trùng ngày/kênh",IF(AA15="","Thiếu nguồn hoặc kênh",IF(G15=AA15,"Khớp","Lệch"))))))</f>
        <v/>
      </c>
    </row>
    <row r="16">
      <c r="A16" s="137" t="n"/>
      <c r="B16" s="112" t="n"/>
      <c r="C16" s="112" t="n"/>
      <c r="D16" s="112" t="n"/>
      <c r="E16" s="112" t="n"/>
      <c r="F16" s="112" t="n"/>
      <c r="G16" s="138" t="n"/>
      <c r="H16" s="112" t="n"/>
      <c r="I16" s="112" t="n"/>
      <c r="J16" s="112" t="n"/>
      <c r="K16" s="112" t="n"/>
      <c r="L16" s="112" t="n"/>
      <c r="M16" s="112" t="n"/>
      <c r="N16" s="139">
        <f>IF(OR(NOT(ISNUMBER(E16)),E16&lt;=0,NOT(ISNUMBER(F16))),"",F16/E16)</f>
        <v/>
      </c>
      <c r="O16" s="139">
        <f>IF(OR(NOT(ISNUMBER(H16)),H16&lt;=0,NOT(ISNUMBER(I16))),"",I16/H16)</f>
        <v/>
      </c>
      <c r="P16" s="139">
        <f>IF(OR(NOT(ISNUMBER(K16)),K16&lt;=0,NOT(ISNUMBER(J16))),"",J16/K16)</f>
        <v/>
      </c>
      <c r="Q16" s="139">
        <f>IF(OR(NOT(ISNUMBER(M16)),M16&lt;=0,NOT(ISNUMBER(L16))),"",L16/M16)</f>
        <v/>
      </c>
      <c r="R16" s="140">
        <f>IF(OR(NOT(ISNUMBER(I16)),I16&lt;=0,NOT(ISNUMBER(G16))),"",G16/I16)</f>
        <v/>
      </c>
      <c r="S16" s="112" t="n"/>
      <c r="T16" s="112" t="n"/>
      <c r="U16" s="112" t="n"/>
      <c r="V16" s="140">
        <f>IF(OR(NOT(ISNUMBER(E16)),E16&lt;=0,NOT(ISNUMBER(G16))),"",1000*G16/E16)</f>
        <v/>
      </c>
      <c r="W16" s="140">
        <f>IF(OR(NOT(ISNUMBER(F16)),F16&lt;=0,NOT(ISNUMBER(G16))),"",G16/F16)</f>
        <v/>
      </c>
      <c r="X16" s="112" t="n"/>
      <c r="Y16" s="112" t="n"/>
      <c r="Z16" s="139">
        <f>IF(OR(NOT(ISNUMBER(X16)),X16&lt;=0,NOT(ISNUMBER(Y16))),"",Y16/X16)</f>
        <v/>
      </c>
      <c r="AA16" s="140">
        <f>IF(OR(NOT(ISNUMBER(A16)),B16=""),"",IF(B16="LinkedIn",IF(COUNTIFS('03_Chi_tieu'!$A$7:$A$96,A16,'03_Chi_tieu'!$E$7:$E$96,"&gt;=0")=0,"",SUMIF('03_Chi_tieu'!$A$7:$A$96,A16,'03_Chi_tieu'!$E$7:$E$96)),IF(B16="Search",IF(COUNTIFS('03_Chi_tieu'!$A$7:$A$96,A16,'03_Chi_tieu'!$F$7:$F$96,"&gt;=0")=0,"",SUMIF('03_Chi_tieu'!$A$7:$A$96,A16,'03_Chi_tieu'!$F$7:$F$96)),IF(B16="Retargeting",IF(COUNTIFS('03_Chi_tieu'!$A$7:$A$96,A16,'03_Chi_tieu'!$G$7:$G$96,"&gt;=0")=0,"",SUMIF('03_Chi_tieu'!$A$7:$A$96,A16,'03_Chi_tieu'!$G$7:$G$96)),IF(B16="Other",IF(COUNTIFS('03_Chi_tieu'!$A$7:$A$96,A16,'03_Chi_tieu'!$H$7:$H$96,"&gt;=0")=0,"",SUMIF('03_Chi_tieu'!$A$7:$A$96,A16,'03_Chi_tieu'!$H$7:$H$96)),"")))))</f>
        <v/>
      </c>
      <c r="AB16">
        <f>IF(G16="","",IF(NOT(ISNUMBER(G16)),"Chi không hợp lệ",IF(OR(NOT(ISNUMBER(A16)),B16=""),"Thiếu ngày/kênh",IF(COUNTIFS($A$5:$A$104,A16,$B$5:$B$104,B16)&gt;1,"Trùng ngày/kênh",IF(AA16="","Thiếu nguồn hoặc kênh",IF(G16=AA16,"Khớp","Lệch"))))))</f>
        <v/>
      </c>
    </row>
    <row r="17">
      <c r="A17" s="137" t="n"/>
      <c r="B17" s="112" t="n"/>
      <c r="C17" s="112" t="n"/>
      <c r="D17" s="112" t="n"/>
      <c r="E17" s="112" t="n"/>
      <c r="F17" s="112" t="n"/>
      <c r="G17" s="138" t="n"/>
      <c r="H17" s="112" t="n"/>
      <c r="I17" s="112" t="n"/>
      <c r="J17" s="112" t="n"/>
      <c r="K17" s="112" t="n"/>
      <c r="L17" s="112" t="n"/>
      <c r="M17" s="112" t="n"/>
      <c r="N17" s="139">
        <f>IF(OR(NOT(ISNUMBER(E17)),E17&lt;=0,NOT(ISNUMBER(F17))),"",F17/E17)</f>
        <v/>
      </c>
      <c r="O17" s="139">
        <f>IF(OR(NOT(ISNUMBER(H17)),H17&lt;=0,NOT(ISNUMBER(I17))),"",I17/H17)</f>
        <v/>
      </c>
      <c r="P17" s="139">
        <f>IF(OR(NOT(ISNUMBER(K17)),K17&lt;=0,NOT(ISNUMBER(J17))),"",J17/K17)</f>
        <v/>
      </c>
      <c r="Q17" s="139">
        <f>IF(OR(NOT(ISNUMBER(M17)),M17&lt;=0,NOT(ISNUMBER(L17))),"",L17/M17)</f>
        <v/>
      </c>
      <c r="R17" s="140">
        <f>IF(OR(NOT(ISNUMBER(I17)),I17&lt;=0,NOT(ISNUMBER(G17))),"",G17/I17)</f>
        <v/>
      </c>
      <c r="S17" s="112" t="n"/>
      <c r="T17" s="112" t="n"/>
      <c r="U17" s="112" t="n"/>
      <c r="V17" s="140">
        <f>IF(OR(NOT(ISNUMBER(E17)),E17&lt;=0,NOT(ISNUMBER(G17))),"",1000*G17/E17)</f>
        <v/>
      </c>
      <c r="W17" s="140">
        <f>IF(OR(NOT(ISNUMBER(F17)),F17&lt;=0,NOT(ISNUMBER(G17))),"",G17/F17)</f>
        <v/>
      </c>
      <c r="X17" s="112" t="n"/>
      <c r="Y17" s="112" t="n"/>
      <c r="Z17" s="139">
        <f>IF(OR(NOT(ISNUMBER(X17)),X17&lt;=0,NOT(ISNUMBER(Y17))),"",Y17/X17)</f>
        <v/>
      </c>
      <c r="AA17" s="140">
        <f>IF(OR(NOT(ISNUMBER(A17)),B17=""),"",IF(B17="LinkedIn",IF(COUNTIFS('03_Chi_tieu'!$A$7:$A$96,A17,'03_Chi_tieu'!$E$7:$E$96,"&gt;=0")=0,"",SUMIF('03_Chi_tieu'!$A$7:$A$96,A17,'03_Chi_tieu'!$E$7:$E$96)),IF(B17="Search",IF(COUNTIFS('03_Chi_tieu'!$A$7:$A$96,A17,'03_Chi_tieu'!$F$7:$F$96,"&gt;=0")=0,"",SUMIF('03_Chi_tieu'!$A$7:$A$96,A17,'03_Chi_tieu'!$F$7:$F$96)),IF(B17="Retargeting",IF(COUNTIFS('03_Chi_tieu'!$A$7:$A$96,A17,'03_Chi_tieu'!$G$7:$G$96,"&gt;=0")=0,"",SUMIF('03_Chi_tieu'!$A$7:$A$96,A17,'03_Chi_tieu'!$G$7:$G$96)),IF(B17="Other",IF(COUNTIFS('03_Chi_tieu'!$A$7:$A$96,A17,'03_Chi_tieu'!$H$7:$H$96,"&gt;=0")=0,"",SUMIF('03_Chi_tieu'!$A$7:$A$96,A17,'03_Chi_tieu'!$H$7:$H$96)),"")))))</f>
        <v/>
      </c>
      <c r="AB17">
        <f>IF(G17="","",IF(NOT(ISNUMBER(G17)),"Chi không hợp lệ",IF(OR(NOT(ISNUMBER(A17)),B17=""),"Thiếu ngày/kênh",IF(COUNTIFS($A$5:$A$104,A17,$B$5:$B$104,B17)&gt;1,"Trùng ngày/kênh",IF(AA17="","Thiếu nguồn hoặc kênh",IF(G17=AA17,"Khớp","Lệch"))))))</f>
        <v/>
      </c>
    </row>
    <row r="18">
      <c r="A18" s="137" t="n"/>
      <c r="B18" s="112" t="n"/>
      <c r="C18" s="112" t="n"/>
      <c r="D18" s="112" t="n"/>
      <c r="E18" s="112" t="n"/>
      <c r="F18" s="112" t="n"/>
      <c r="G18" s="138" t="n"/>
      <c r="H18" s="112" t="n"/>
      <c r="I18" s="112" t="n"/>
      <c r="J18" s="112" t="n"/>
      <c r="K18" s="112" t="n"/>
      <c r="L18" s="112" t="n"/>
      <c r="M18" s="112" t="n"/>
      <c r="N18" s="139">
        <f>IF(OR(NOT(ISNUMBER(E18)),E18&lt;=0,NOT(ISNUMBER(F18))),"",F18/E18)</f>
        <v/>
      </c>
      <c r="O18" s="139">
        <f>IF(OR(NOT(ISNUMBER(H18)),H18&lt;=0,NOT(ISNUMBER(I18))),"",I18/H18)</f>
        <v/>
      </c>
      <c r="P18" s="139">
        <f>IF(OR(NOT(ISNUMBER(K18)),K18&lt;=0,NOT(ISNUMBER(J18))),"",J18/K18)</f>
        <v/>
      </c>
      <c r="Q18" s="139">
        <f>IF(OR(NOT(ISNUMBER(M18)),M18&lt;=0,NOT(ISNUMBER(L18))),"",L18/M18)</f>
        <v/>
      </c>
      <c r="R18" s="140">
        <f>IF(OR(NOT(ISNUMBER(I18)),I18&lt;=0,NOT(ISNUMBER(G18))),"",G18/I18)</f>
        <v/>
      </c>
      <c r="S18" s="112" t="n"/>
      <c r="T18" s="112" t="n"/>
      <c r="U18" s="112" t="n"/>
      <c r="V18" s="140">
        <f>IF(OR(NOT(ISNUMBER(E18)),E18&lt;=0,NOT(ISNUMBER(G18))),"",1000*G18/E18)</f>
        <v/>
      </c>
      <c r="W18" s="140">
        <f>IF(OR(NOT(ISNUMBER(F18)),F18&lt;=0,NOT(ISNUMBER(G18))),"",G18/F18)</f>
        <v/>
      </c>
      <c r="X18" s="112" t="n"/>
      <c r="Y18" s="112" t="n"/>
      <c r="Z18" s="139">
        <f>IF(OR(NOT(ISNUMBER(X18)),X18&lt;=0,NOT(ISNUMBER(Y18))),"",Y18/X18)</f>
        <v/>
      </c>
      <c r="AA18" s="140">
        <f>IF(OR(NOT(ISNUMBER(A18)),B18=""),"",IF(B18="LinkedIn",IF(COUNTIFS('03_Chi_tieu'!$A$7:$A$96,A18,'03_Chi_tieu'!$E$7:$E$96,"&gt;=0")=0,"",SUMIF('03_Chi_tieu'!$A$7:$A$96,A18,'03_Chi_tieu'!$E$7:$E$96)),IF(B18="Search",IF(COUNTIFS('03_Chi_tieu'!$A$7:$A$96,A18,'03_Chi_tieu'!$F$7:$F$96,"&gt;=0")=0,"",SUMIF('03_Chi_tieu'!$A$7:$A$96,A18,'03_Chi_tieu'!$F$7:$F$96)),IF(B18="Retargeting",IF(COUNTIFS('03_Chi_tieu'!$A$7:$A$96,A18,'03_Chi_tieu'!$G$7:$G$96,"&gt;=0")=0,"",SUMIF('03_Chi_tieu'!$A$7:$A$96,A18,'03_Chi_tieu'!$G$7:$G$96)),IF(B18="Other",IF(COUNTIFS('03_Chi_tieu'!$A$7:$A$96,A18,'03_Chi_tieu'!$H$7:$H$96,"&gt;=0")=0,"",SUMIF('03_Chi_tieu'!$A$7:$A$96,A18,'03_Chi_tieu'!$H$7:$H$96)),"")))))</f>
        <v/>
      </c>
      <c r="AB18">
        <f>IF(G18="","",IF(NOT(ISNUMBER(G18)),"Chi không hợp lệ",IF(OR(NOT(ISNUMBER(A18)),B18=""),"Thiếu ngày/kênh",IF(COUNTIFS($A$5:$A$104,A18,$B$5:$B$104,B18)&gt;1,"Trùng ngày/kênh",IF(AA18="","Thiếu nguồn hoặc kênh",IF(G18=AA18,"Khớp","Lệch"))))))</f>
        <v/>
      </c>
    </row>
    <row r="19">
      <c r="A19" s="137" t="n"/>
      <c r="B19" s="112" t="n"/>
      <c r="C19" s="112" t="n"/>
      <c r="D19" s="112" t="n"/>
      <c r="E19" s="112" t="n"/>
      <c r="F19" s="112" t="n"/>
      <c r="G19" s="138" t="n"/>
      <c r="H19" s="112" t="n"/>
      <c r="I19" s="112" t="n"/>
      <c r="J19" s="112" t="n"/>
      <c r="K19" s="112" t="n"/>
      <c r="L19" s="112" t="n"/>
      <c r="M19" s="112" t="n"/>
      <c r="N19" s="139">
        <f>IF(OR(NOT(ISNUMBER(E19)),E19&lt;=0,NOT(ISNUMBER(F19))),"",F19/E19)</f>
        <v/>
      </c>
      <c r="O19" s="139">
        <f>IF(OR(NOT(ISNUMBER(H19)),H19&lt;=0,NOT(ISNUMBER(I19))),"",I19/H19)</f>
        <v/>
      </c>
      <c r="P19" s="139">
        <f>IF(OR(NOT(ISNUMBER(K19)),K19&lt;=0,NOT(ISNUMBER(J19))),"",J19/K19)</f>
        <v/>
      </c>
      <c r="Q19" s="139">
        <f>IF(OR(NOT(ISNUMBER(M19)),M19&lt;=0,NOT(ISNUMBER(L19))),"",L19/M19)</f>
        <v/>
      </c>
      <c r="R19" s="140">
        <f>IF(OR(NOT(ISNUMBER(I19)),I19&lt;=0,NOT(ISNUMBER(G19))),"",G19/I19)</f>
        <v/>
      </c>
      <c r="S19" s="112" t="n"/>
      <c r="T19" s="112" t="n"/>
      <c r="U19" s="112" t="n"/>
      <c r="V19" s="140">
        <f>IF(OR(NOT(ISNUMBER(E19)),E19&lt;=0,NOT(ISNUMBER(G19))),"",1000*G19/E19)</f>
        <v/>
      </c>
      <c r="W19" s="140">
        <f>IF(OR(NOT(ISNUMBER(F19)),F19&lt;=0,NOT(ISNUMBER(G19))),"",G19/F19)</f>
        <v/>
      </c>
      <c r="X19" s="112" t="n"/>
      <c r="Y19" s="112" t="n"/>
      <c r="Z19" s="139">
        <f>IF(OR(NOT(ISNUMBER(X19)),X19&lt;=0,NOT(ISNUMBER(Y19))),"",Y19/X19)</f>
        <v/>
      </c>
      <c r="AA19" s="140">
        <f>IF(OR(NOT(ISNUMBER(A19)),B19=""),"",IF(B19="LinkedIn",IF(COUNTIFS('03_Chi_tieu'!$A$7:$A$96,A19,'03_Chi_tieu'!$E$7:$E$96,"&gt;=0")=0,"",SUMIF('03_Chi_tieu'!$A$7:$A$96,A19,'03_Chi_tieu'!$E$7:$E$96)),IF(B19="Search",IF(COUNTIFS('03_Chi_tieu'!$A$7:$A$96,A19,'03_Chi_tieu'!$F$7:$F$96,"&gt;=0")=0,"",SUMIF('03_Chi_tieu'!$A$7:$A$96,A19,'03_Chi_tieu'!$F$7:$F$96)),IF(B19="Retargeting",IF(COUNTIFS('03_Chi_tieu'!$A$7:$A$96,A19,'03_Chi_tieu'!$G$7:$G$96,"&gt;=0")=0,"",SUMIF('03_Chi_tieu'!$A$7:$A$96,A19,'03_Chi_tieu'!$G$7:$G$96)),IF(B19="Other",IF(COUNTIFS('03_Chi_tieu'!$A$7:$A$96,A19,'03_Chi_tieu'!$H$7:$H$96,"&gt;=0")=0,"",SUMIF('03_Chi_tieu'!$A$7:$A$96,A19,'03_Chi_tieu'!$H$7:$H$96)),"")))))</f>
        <v/>
      </c>
      <c r="AB19">
        <f>IF(G19="","",IF(NOT(ISNUMBER(G19)),"Chi không hợp lệ",IF(OR(NOT(ISNUMBER(A19)),B19=""),"Thiếu ngày/kênh",IF(COUNTIFS($A$5:$A$104,A19,$B$5:$B$104,B19)&gt;1,"Trùng ngày/kênh",IF(AA19="","Thiếu nguồn hoặc kênh",IF(G19=AA19,"Khớp","Lệch"))))))</f>
        <v/>
      </c>
    </row>
    <row r="20">
      <c r="A20" s="137" t="n"/>
      <c r="B20" s="112" t="n"/>
      <c r="C20" s="112" t="n"/>
      <c r="D20" s="112" t="n"/>
      <c r="E20" s="112" t="n"/>
      <c r="F20" s="112" t="n"/>
      <c r="G20" s="138" t="n"/>
      <c r="H20" s="112" t="n"/>
      <c r="I20" s="112" t="n"/>
      <c r="J20" s="112" t="n"/>
      <c r="K20" s="112" t="n"/>
      <c r="L20" s="112" t="n"/>
      <c r="M20" s="112" t="n"/>
      <c r="N20" s="139">
        <f>IF(OR(NOT(ISNUMBER(E20)),E20&lt;=0,NOT(ISNUMBER(F20))),"",F20/E20)</f>
        <v/>
      </c>
      <c r="O20" s="139">
        <f>IF(OR(NOT(ISNUMBER(H20)),H20&lt;=0,NOT(ISNUMBER(I20))),"",I20/H20)</f>
        <v/>
      </c>
      <c r="P20" s="139">
        <f>IF(OR(NOT(ISNUMBER(K20)),K20&lt;=0,NOT(ISNUMBER(J20))),"",J20/K20)</f>
        <v/>
      </c>
      <c r="Q20" s="139">
        <f>IF(OR(NOT(ISNUMBER(M20)),M20&lt;=0,NOT(ISNUMBER(L20))),"",L20/M20)</f>
        <v/>
      </c>
      <c r="R20" s="140">
        <f>IF(OR(NOT(ISNUMBER(I20)),I20&lt;=0,NOT(ISNUMBER(G20))),"",G20/I20)</f>
        <v/>
      </c>
      <c r="S20" s="112" t="n"/>
      <c r="T20" s="112" t="n"/>
      <c r="U20" s="112" t="n"/>
      <c r="V20" s="140">
        <f>IF(OR(NOT(ISNUMBER(E20)),E20&lt;=0,NOT(ISNUMBER(G20))),"",1000*G20/E20)</f>
        <v/>
      </c>
      <c r="W20" s="140">
        <f>IF(OR(NOT(ISNUMBER(F20)),F20&lt;=0,NOT(ISNUMBER(G20))),"",G20/F20)</f>
        <v/>
      </c>
      <c r="X20" s="112" t="n"/>
      <c r="Y20" s="112" t="n"/>
      <c r="Z20" s="139">
        <f>IF(OR(NOT(ISNUMBER(X20)),X20&lt;=0,NOT(ISNUMBER(Y20))),"",Y20/X20)</f>
        <v/>
      </c>
      <c r="AA20" s="140">
        <f>IF(OR(NOT(ISNUMBER(A20)),B20=""),"",IF(B20="LinkedIn",IF(COUNTIFS('03_Chi_tieu'!$A$7:$A$96,A20,'03_Chi_tieu'!$E$7:$E$96,"&gt;=0")=0,"",SUMIF('03_Chi_tieu'!$A$7:$A$96,A20,'03_Chi_tieu'!$E$7:$E$96)),IF(B20="Search",IF(COUNTIFS('03_Chi_tieu'!$A$7:$A$96,A20,'03_Chi_tieu'!$F$7:$F$96,"&gt;=0")=0,"",SUMIF('03_Chi_tieu'!$A$7:$A$96,A20,'03_Chi_tieu'!$F$7:$F$96)),IF(B20="Retargeting",IF(COUNTIFS('03_Chi_tieu'!$A$7:$A$96,A20,'03_Chi_tieu'!$G$7:$G$96,"&gt;=0")=0,"",SUMIF('03_Chi_tieu'!$A$7:$A$96,A20,'03_Chi_tieu'!$G$7:$G$96)),IF(B20="Other",IF(COUNTIFS('03_Chi_tieu'!$A$7:$A$96,A20,'03_Chi_tieu'!$H$7:$H$96,"&gt;=0")=0,"",SUMIF('03_Chi_tieu'!$A$7:$A$96,A20,'03_Chi_tieu'!$H$7:$H$96)),"")))))</f>
        <v/>
      </c>
      <c r="AB20">
        <f>IF(G20="","",IF(NOT(ISNUMBER(G20)),"Chi không hợp lệ",IF(OR(NOT(ISNUMBER(A20)),B20=""),"Thiếu ngày/kênh",IF(COUNTIFS($A$5:$A$104,A20,$B$5:$B$104,B20)&gt;1,"Trùng ngày/kênh",IF(AA20="","Thiếu nguồn hoặc kênh",IF(G20=AA20,"Khớp","Lệch"))))))</f>
        <v/>
      </c>
    </row>
    <row r="21">
      <c r="A21" s="137" t="n"/>
      <c r="B21" s="112" t="n"/>
      <c r="C21" s="112" t="n"/>
      <c r="D21" s="112" t="n"/>
      <c r="E21" s="112" t="n"/>
      <c r="F21" s="112" t="n"/>
      <c r="G21" s="138" t="n"/>
      <c r="H21" s="112" t="n"/>
      <c r="I21" s="112" t="n"/>
      <c r="J21" s="112" t="n"/>
      <c r="K21" s="112" t="n"/>
      <c r="L21" s="112" t="n"/>
      <c r="M21" s="112" t="n"/>
      <c r="N21" s="139">
        <f>IF(OR(NOT(ISNUMBER(E21)),E21&lt;=0,NOT(ISNUMBER(F21))),"",F21/E21)</f>
        <v/>
      </c>
      <c r="O21" s="139">
        <f>IF(OR(NOT(ISNUMBER(H21)),H21&lt;=0,NOT(ISNUMBER(I21))),"",I21/H21)</f>
        <v/>
      </c>
      <c r="P21" s="139">
        <f>IF(OR(NOT(ISNUMBER(K21)),K21&lt;=0,NOT(ISNUMBER(J21))),"",J21/K21)</f>
        <v/>
      </c>
      <c r="Q21" s="139">
        <f>IF(OR(NOT(ISNUMBER(M21)),M21&lt;=0,NOT(ISNUMBER(L21))),"",L21/M21)</f>
        <v/>
      </c>
      <c r="R21" s="140">
        <f>IF(OR(NOT(ISNUMBER(I21)),I21&lt;=0,NOT(ISNUMBER(G21))),"",G21/I21)</f>
        <v/>
      </c>
      <c r="S21" s="112" t="n"/>
      <c r="T21" s="112" t="n"/>
      <c r="U21" s="112" t="n"/>
      <c r="V21" s="140">
        <f>IF(OR(NOT(ISNUMBER(E21)),E21&lt;=0,NOT(ISNUMBER(G21))),"",1000*G21/E21)</f>
        <v/>
      </c>
      <c r="W21" s="140">
        <f>IF(OR(NOT(ISNUMBER(F21)),F21&lt;=0,NOT(ISNUMBER(G21))),"",G21/F21)</f>
        <v/>
      </c>
      <c r="X21" s="112" t="n"/>
      <c r="Y21" s="112" t="n"/>
      <c r="Z21" s="139">
        <f>IF(OR(NOT(ISNUMBER(X21)),X21&lt;=0,NOT(ISNUMBER(Y21))),"",Y21/X21)</f>
        <v/>
      </c>
      <c r="AA21" s="140">
        <f>IF(OR(NOT(ISNUMBER(A21)),B21=""),"",IF(B21="LinkedIn",IF(COUNTIFS('03_Chi_tieu'!$A$7:$A$96,A21,'03_Chi_tieu'!$E$7:$E$96,"&gt;=0")=0,"",SUMIF('03_Chi_tieu'!$A$7:$A$96,A21,'03_Chi_tieu'!$E$7:$E$96)),IF(B21="Search",IF(COUNTIFS('03_Chi_tieu'!$A$7:$A$96,A21,'03_Chi_tieu'!$F$7:$F$96,"&gt;=0")=0,"",SUMIF('03_Chi_tieu'!$A$7:$A$96,A21,'03_Chi_tieu'!$F$7:$F$96)),IF(B21="Retargeting",IF(COUNTIFS('03_Chi_tieu'!$A$7:$A$96,A21,'03_Chi_tieu'!$G$7:$G$96,"&gt;=0")=0,"",SUMIF('03_Chi_tieu'!$A$7:$A$96,A21,'03_Chi_tieu'!$G$7:$G$96)),IF(B21="Other",IF(COUNTIFS('03_Chi_tieu'!$A$7:$A$96,A21,'03_Chi_tieu'!$H$7:$H$96,"&gt;=0")=0,"",SUMIF('03_Chi_tieu'!$A$7:$A$96,A21,'03_Chi_tieu'!$H$7:$H$96)),"")))))</f>
        <v/>
      </c>
      <c r="AB21">
        <f>IF(G21="","",IF(NOT(ISNUMBER(G21)),"Chi không hợp lệ",IF(OR(NOT(ISNUMBER(A21)),B21=""),"Thiếu ngày/kênh",IF(COUNTIFS($A$5:$A$104,A21,$B$5:$B$104,B21)&gt;1,"Trùng ngày/kênh",IF(AA21="","Thiếu nguồn hoặc kênh",IF(G21=AA21,"Khớp","Lệch"))))))</f>
        <v/>
      </c>
    </row>
    <row r="22">
      <c r="A22" s="137" t="n"/>
      <c r="B22" s="112" t="n"/>
      <c r="C22" s="112" t="n"/>
      <c r="D22" s="112" t="n"/>
      <c r="E22" s="112" t="n"/>
      <c r="F22" s="112" t="n"/>
      <c r="G22" s="138" t="n"/>
      <c r="H22" s="112" t="n"/>
      <c r="I22" s="112" t="n"/>
      <c r="J22" s="112" t="n"/>
      <c r="K22" s="112" t="n"/>
      <c r="L22" s="112" t="n"/>
      <c r="M22" s="112" t="n"/>
      <c r="N22" s="139">
        <f>IF(OR(NOT(ISNUMBER(E22)),E22&lt;=0,NOT(ISNUMBER(F22))),"",F22/E22)</f>
        <v/>
      </c>
      <c r="O22" s="139">
        <f>IF(OR(NOT(ISNUMBER(H22)),H22&lt;=0,NOT(ISNUMBER(I22))),"",I22/H22)</f>
        <v/>
      </c>
      <c r="P22" s="139">
        <f>IF(OR(NOT(ISNUMBER(K22)),K22&lt;=0,NOT(ISNUMBER(J22))),"",J22/K22)</f>
        <v/>
      </c>
      <c r="Q22" s="139">
        <f>IF(OR(NOT(ISNUMBER(M22)),M22&lt;=0,NOT(ISNUMBER(L22))),"",L22/M22)</f>
        <v/>
      </c>
      <c r="R22" s="140">
        <f>IF(OR(NOT(ISNUMBER(I22)),I22&lt;=0,NOT(ISNUMBER(G22))),"",G22/I22)</f>
        <v/>
      </c>
      <c r="S22" s="112" t="n"/>
      <c r="T22" s="112" t="n"/>
      <c r="U22" s="112" t="n"/>
      <c r="V22" s="140">
        <f>IF(OR(NOT(ISNUMBER(E22)),E22&lt;=0,NOT(ISNUMBER(G22))),"",1000*G22/E22)</f>
        <v/>
      </c>
      <c r="W22" s="140">
        <f>IF(OR(NOT(ISNUMBER(F22)),F22&lt;=0,NOT(ISNUMBER(G22))),"",G22/F22)</f>
        <v/>
      </c>
      <c r="X22" s="112" t="n"/>
      <c r="Y22" s="112" t="n"/>
      <c r="Z22" s="139">
        <f>IF(OR(NOT(ISNUMBER(X22)),X22&lt;=0,NOT(ISNUMBER(Y22))),"",Y22/X22)</f>
        <v/>
      </c>
      <c r="AA22" s="140">
        <f>IF(OR(NOT(ISNUMBER(A22)),B22=""),"",IF(B22="LinkedIn",IF(COUNTIFS('03_Chi_tieu'!$A$7:$A$96,A22,'03_Chi_tieu'!$E$7:$E$96,"&gt;=0")=0,"",SUMIF('03_Chi_tieu'!$A$7:$A$96,A22,'03_Chi_tieu'!$E$7:$E$96)),IF(B22="Search",IF(COUNTIFS('03_Chi_tieu'!$A$7:$A$96,A22,'03_Chi_tieu'!$F$7:$F$96,"&gt;=0")=0,"",SUMIF('03_Chi_tieu'!$A$7:$A$96,A22,'03_Chi_tieu'!$F$7:$F$96)),IF(B22="Retargeting",IF(COUNTIFS('03_Chi_tieu'!$A$7:$A$96,A22,'03_Chi_tieu'!$G$7:$G$96,"&gt;=0")=0,"",SUMIF('03_Chi_tieu'!$A$7:$A$96,A22,'03_Chi_tieu'!$G$7:$G$96)),IF(B22="Other",IF(COUNTIFS('03_Chi_tieu'!$A$7:$A$96,A22,'03_Chi_tieu'!$H$7:$H$96,"&gt;=0")=0,"",SUMIF('03_Chi_tieu'!$A$7:$A$96,A22,'03_Chi_tieu'!$H$7:$H$96)),"")))))</f>
        <v/>
      </c>
      <c r="AB22">
        <f>IF(G22="","",IF(NOT(ISNUMBER(G22)),"Chi không hợp lệ",IF(OR(NOT(ISNUMBER(A22)),B22=""),"Thiếu ngày/kênh",IF(COUNTIFS($A$5:$A$104,A22,$B$5:$B$104,B22)&gt;1,"Trùng ngày/kênh",IF(AA22="","Thiếu nguồn hoặc kênh",IF(G22=AA22,"Khớp","Lệch"))))))</f>
        <v/>
      </c>
    </row>
    <row r="23">
      <c r="A23" s="137" t="n"/>
      <c r="B23" s="112" t="n"/>
      <c r="C23" s="112" t="n"/>
      <c r="D23" s="112" t="n"/>
      <c r="E23" s="112" t="n"/>
      <c r="F23" s="112" t="n"/>
      <c r="G23" s="138" t="n"/>
      <c r="H23" s="112" t="n"/>
      <c r="I23" s="112" t="n"/>
      <c r="J23" s="112" t="n"/>
      <c r="K23" s="112" t="n"/>
      <c r="L23" s="112" t="n"/>
      <c r="M23" s="112" t="n"/>
      <c r="N23" s="139">
        <f>IF(OR(NOT(ISNUMBER(E23)),E23&lt;=0,NOT(ISNUMBER(F23))),"",F23/E23)</f>
        <v/>
      </c>
      <c r="O23" s="139">
        <f>IF(OR(NOT(ISNUMBER(H23)),H23&lt;=0,NOT(ISNUMBER(I23))),"",I23/H23)</f>
        <v/>
      </c>
      <c r="P23" s="139">
        <f>IF(OR(NOT(ISNUMBER(K23)),K23&lt;=0,NOT(ISNUMBER(J23))),"",J23/K23)</f>
        <v/>
      </c>
      <c r="Q23" s="139">
        <f>IF(OR(NOT(ISNUMBER(M23)),M23&lt;=0,NOT(ISNUMBER(L23))),"",L23/M23)</f>
        <v/>
      </c>
      <c r="R23" s="140">
        <f>IF(OR(NOT(ISNUMBER(I23)),I23&lt;=0,NOT(ISNUMBER(G23))),"",G23/I23)</f>
        <v/>
      </c>
      <c r="S23" s="112" t="n"/>
      <c r="T23" s="112" t="n"/>
      <c r="U23" s="112" t="n"/>
      <c r="V23" s="140">
        <f>IF(OR(NOT(ISNUMBER(E23)),E23&lt;=0,NOT(ISNUMBER(G23))),"",1000*G23/E23)</f>
        <v/>
      </c>
      <c r="W23" s="140">
        <f>IF(OR(NOT(ISNUMBER(F23)),F23&lt;=0,NOT(ISNUMBER(G23))),"",G23/F23)</f>
        <v/>
      </c>
      <c r="X23" s="112" t="n"/>
      <c r="Y23" s="112" t="n"/>
      <c r="Z23" s="139">
        <f>IF(OR(NOT(ISNUMBER(X23)),X23&lt;=0,NOT(ISNUMBER(Y23))),"",Y23/X23)</f>
        <v/>
      </c>
      <c r="AA23" s="140">
        <f>IF(OR(NOT(ISNUMBER(A23)),B23=""),"",IF(B23="LinkedIn",IF(COUNTIFS('03_Chi_tieu'!$A$7:$A$96,A23,'03_Chi_tieu'!$E$7:$E$96,"&gt;=0")=0,"",SUMIF('03_Chi_tieu'!$A$7:$A$96,A23,'03_Chi_tieu'!$E$7:$E$96)),IF(B23="Search",IF(COUNTIFS('03_Chi_tieu'!$A$7:$A$96,A23,'03_Chi_tieu'!$F$7:$F$96,"&gt;=0")=0,"",SUMIF('03_Chi_tieu'!$A$7:$A$96,A23,'03_Chi_tieu'!$F$7:$F$96)),IF(B23="Retargeting",IF(COUNTIFS('03_Chi_tieu'!$A$7:$A$96,A23,'03_Chi_tieu'!$G$7:$G$96,"&gt;=0")=0,"",SUMIF('03_Chi_tieu'!$A$7:$A$96,A23,'03_Chi_tieu'!$G$7:$G$96)),IF(B23="Other",IF(COUNTIFS('03_Chi_tieu'!$A$7:$A$96,A23,'03_Chi_tieu'!$H$7:$H$96,"&gt;=0")=0,"",SUMIF('03_Chi_tieu'!$A$7:$A$96,A23,'03_Chi_tieu'!$H$7:$H$96)),"")))))</f>
        <v/>
      </c>
      <c r="AB23">
        <f>IF(G23="","",IF(NOT(ISNUMBER(G23)),"Chi không hợp lệ",IF(OR(NOT(ISNUMBER(A23)),B23=""),"Thiếu ngày/kênh",IF(COUNTIFS($A$5:$A$104,A23,$B$5:$B$104,B23)&gt;1,"Trùng ngày/kênh",IF(AA23="","Thiếu nguồn hoặc kênh",IF(G23=AA23,"Khớp","Lệch"))))))</f>
        <v/>
      </c>
    </row>
    <row r="24">
      <c r="A24" s="137" t="n"/>
      <c r="B24" s="112" t="n"/>
      <c r="C24" s="112" t="n"/>
      <c r="D24" s="112" t="n"/>
      <c r="E24" s="112" t="n"/>
      <c r="F24" s="112" t="n"/>
      <c r="G24" s="138" t="n"/>
      <c r="H24" s="112" t="n"/>
      <c r="I24" s="112" t="n"/>
      <c r="J24" s="112" t="n"/>
      <c r="K24" s="112" t="n"/>
      <c r="L24" s="112" t="n"/>
      <c r="M24" s="112" t="n"/>
      <c r="N24" s="139">
        <f>IF(OR(NOT(ISNUMBER(E24)),E24&lt;=0,NOT(ISNUMBER(F24))),"",F24/E24)</f>
        <v/>
      </c>
      <c r="O24" s="139">
        <f>IF(OR(NOT(ISNUMBER(H24)),H24&lt;=0,NOT(ISNUMBER(I24))),"",I24/H24)</f>
        <v/>
      </c>
      <c r="P24" s="139">
        <f>IF(OR(NOT(ISNUMBER(K24)),K24&lt;=0,NOT(ISNUMBER(J24))),"",J24/K24)</f>
        <v/>
      </c>
      <c r="Q24" s="139">
        <f>IF(OR(NOT(ISNUMBER(M24)),M24&lt;=0,NOT(ISNUMBER(L24))),"",L24/M24)</f>
        <v/>
      </c>
      <c r="R24" s="140">
        <f>IF(OR(NOT(ISNUMBER(I24)),I24&lt;=0,NOT(ISNUMBER(G24))),"",G24/I24)</f>
        <v/>
      </c>
      <c r="S24" s="112" t="n"/>
      <c r="T24" s="112" t="n"/>
      <c r="U24" s="112" t="n"/>
      <c r="V24" s="140">
        <f>IF(OR(NOT(ISNUMBER(E24)),E24&lt;=0,NOT(ISNUMBER(G24))),"",1000*G24/E24)</f>
        <v/>
      </c>
      <c r="W24" s="140">
        <f>IF(OR(NOT(ISNUMBER(F24)),F24&lt;=0,NOT(ISNUMBER(G24))),"",G24/F24)</f>
        <v/>
      </c>
      <c r="X24" s="112" t="n"/>
      <c r="Y24" s="112" t="n"/>
      <c r="Z24" s="139">
        <f>IF(OR(NOT(ISNUMBER(X24)),X24&lt;=0,NOT(ISNUMBER(Y24))),"",Y24/X24)</f>
        <v/>
      </c>
      <c r="AA24" s="140">
        <f>IF(OR(NOT(ISNUMBER(A24)),B24=""),"",IF(B24="LinkedIn",IF(COUNTIFS('03_Chi_tieu'!$A$7:$A$96,A24,'03_Chi_tieu'!$E$7:$E$96,"&gt;=0")=0,"",SUMIF('03_Chi_tieu'!$A$7:$A$96,A24,'03_Chi_tieu'!$E$7:$E$96)),IF(B24="Search",IF(COUNTIFS('03_Chi_tieu'!$A$7:$A$96,A24,'03_Chi_tieu'!$F$7:$F$96,"&gt;=0")=0,"",SUMIF('03_Chi_tieu'!$A$7:$A$96,A24,'03_Chi_tieu'!$F$7:$F$96)),IF(B24="Retargeting",IF(COUNTIFS('03_Chi_tieu'!$A$7:$A$96,A24,'03_Chi_tieu'!$G$7:$G$96,"&gt;=0")=0,"",SUMIF('03_Chi_tieu'!$A$7:$A$96,A24,'03_Chi_tieu'!$G$7:$G$96)),IF(B24="Other",IF(COUNTIFS('03_Chi_tieu'!$A$7:$A$96,A24,'03_Chi_tieu'!$H$7:$H$96,"&gt;=0")=0,"",SUMIF('03_Chi_tieu'!$A$7:$A$96,A24,'03_Chi_tieu'!$H$7:$H$96)),"")))))</f>
        <v/>
      </c>
      <c r="AB24">
        <f>IF(G24="","",IF(NOT(ISNUMBER(G24)),"Chi không hợp lệ",IF(OR(NOT(ISNUMBER(A24)),B24=""),"Thiếu ngày/kênh",IF(COUNTIFS($A$5:$A$104,A24,$B$5:$B$104,B24)&gt;1,"Trùng ngày/kênh",IF(AA24="","Thiếu nguồn hoặc kênh",IF(G24=AA24,"Khớp","Lệch"))))))</f>
        <v/>
      </c>
    </row>
    <row r="25">
      <c r="A25" s="137" t="n"/>
      <c r="B25" s="112" t="n"/>
      <c r="C25" s="112" t="n"/>
      <c r="D25" s="112" t="n"/>
      <c r="E25" s="112" t="n"/>
      <c r="F25" s="112" t="n"/>
      <c r="G25" s="138" t="n"/>
      <c r="H25" s="112" t="n"/>
      <c r="I25" s="112" t="n"/>
      <c r="J25" s="112" t="n"/>
      <c r="K25" s="112" t="n"/>
      <c r="L25" s="112" t="n"/>
      <c r="M25" s="112" t="n"/>
      <c r="N25" s="139">
        <f>IF(OR(NOT(ISNUMBER(E25)),E25&lt;=0,NOT(ISNUMBER(F25))),"",F25/E25)</f>
        <v/>
      </c>
      <c r="O25" s="139">
        <f>IF(OR(NOT(ISNUMBER(H25)),H25&lt;=0,NOT(ISNUMBER(I25))),"",I25/H25)</f>
        <v/>
      </c>
      <c r="P25" s="139">
        <f>IF(OR(NOT(ISNUMBER(K25)),K25&lt;=0,NOT(ISNUMBER(J25))),"",J25/K25)</f>
        <v/>
      </c>
      <c r="Q25" s="139">
        <f>IF(OR(NOT(ISNUMBER(M25)),M25&lt;=0,NOT(ISNUMBER(L25))),"",L25/M25)</f>
        <v/>
      </c>
      <c r="R25" s="140">
        <f>IF(OR(NOT(ISNUMBER(I25)),I25&lt;=0,NOT(ISNUMBER(G25))),"",G25/I25)</f>
        <v/>
      </c>
      <c r="S25" s="112" t="n"/>
      <c r="T25" s="112" t="n"/>
      <c r="U25" s="112" t="n"/>
      <c r="V25" s="140">
        <f>IF(OR(NOT(ISNUMBER(E25)),E25&lt;=0,NOT(ISNUMBER(G25))),"",1000*G25/E25)</f>
        <v/>
      </c>
      <c r="W25" s="140">
        <f>IF(OR(NOT(ISNUMBER(F25)),F25&lt;=0,NOT(ISNUMBER(G25))),"",G25/F25)</f>
        <v/>
      </c>
      <c r="X25" s="112" t="n"/>
      <c r="Y25" s="112" t="n"/>
      <c r="Z25" s="139">
        <f>IF(OR(NOT(ISNUMBER(X25)),X25&lt;=0,NOT(ISNUMBER(Y25))),"",Y25/X25)</f>
        <v/>
      </c>
      <c r="AA25" s="140">
        <f>IF(OR(NOT(ISNUMBER(A25)),B25=""),"",IF(B25="LinkedIn",IF(COUNTIFS('03_Chi_tieu'!$A$7:$A$96,A25,'03_Chi_tieu'!$E$7:$E$96,"&gt;=0")=0,"",SUMIF('03_Chi_tieu'!$A$7:$A$96,A25,'03_Chi_tieu'!$E$7:$E$96)),IF(B25="Search",IF(COUNTIFS('03_Chi_tieu'!$A$7:$A$96,A25,'03_Chi_tieu'!$F$7:$F$96,"&gt;=0")=0,"",SUMIF('03_Chi_tieu'!$A$7:$A$96,A25,'03_Chi_tieu'!$F$7:$F$96)),IF(B25="Retargeting",IF(COUNTIFS('03_Chi_tieu'!$A$7:$A$96,A25,'03_Chi_tieu'!$G$7:$G$96,"&gt;=0")=0,"",SUMIF('03_Chi_tieu'!$A$7:$A$96,A25,'03_Chi_tieu'!$G$7:$G$96)),IF(B25="Other",IF(COUNTIFS('03_Chi_tieu'!$A$7:$A$96,A25,'03_Chi_tieu'!$H$7:$H$96,"&gt;=0")=0,"",SUMIF('03_Chi_tieu'!$A$7:$A$96,A25,'03_Chi_tieu'!$H$7:$H$96)),"")))))</f>
        <v/>
      </c>
      <c r="AB25">
        <f>IF(G25="","",IF(NOT(ISNUMBER(G25)),"Chi không hợp lệ",IF(OR(NOT(ISNUMBER(A25)),B25=""),"Thiếu ngày/kênh",IF(COUNTIFS($A$5:$A$104,A25,$B$5:$B$104,B25)&gt;1,"Trùng ngày/kênh",IF(AA25="","Thiếu nguồn hoặc kênh",IF(G25=AA25,"Khớp","Lệch"))))))</f>
        <v/>
      </c>
    </row>
    <row r="26">
      <c r="A26" s="137" t="n"/>
      <c r="B26" s="112" t="n"/>
      <c r="C26" s="112" t="n"/>
      <c r="D26" s="112" t="n"/>
      <c r="E26" s="112" t="n"/>
      <c r="F26" s="112" t="n"/>
      <c r="G26" s="138" t="n"/>
      <c r="H26" s="112" t="n"/>
      <c r="I26" s="112" t="n"/>
      <c r="J26" s="112" t="n"/>
      <c r="K26" s="112" t="n"/>
      <c r="L26" s="112" t="n"/>
      <c r="M26" s="112" t="n"/>
      <c r="N26" s="139">
        <f>IF(OR(NOT(ISNUMBER(E26)),E26&lt;=0,NOT(ISNUMBER(F26))),"",F26/E26)</f>
        <v/>
      </c>
      <c r="O26" s="139">
        <f>IF(OR(NOT(ISNUMBER(H26)),H26&lt;=0,NOT(ISNUMBER(I26))),"",I26/H26)</f>
        <v/>
      </c>
      <c r="P26" s="139">
        <f>IF(OR(NOT(ISNUMBER(K26)),K26&lt;=0,NOT(ISNUMBER(J26))),"",J26/K26)</f>
        <v/>
      </c>
      <c r="Q26" s="139">
        <f>IF(OR(NOT(ISNUMBER(M26)),M26&lt;=0,NOT(ISNUMBER(L26))),"",L26/M26)</f>
        <v/>
      </c>
      <c r="R26" s="140">
        <f>IF(OR(NOT(ISNUMBER(I26)),I26&lt;=0,NOT(ISNUMBER(G26))),"",G26/I26)</f>
        <v/>
      </c>
      <c r="S26" s="112" t="n"/>
      <c r="T26" s="112" t="n"/>
      <c r="U26" s="112" t="n"/>
      <c r="V26" s="140">
        <f>IF(OR(NOT(ISNUMBER(E26)),E26&lt;=0,NOT(ISNUMBER(G26))),"",1000*G26/E26)</f>
        <v/>
      </c>
      <c r="W26" s="140">
        <f>IF(OR(NOT(ISNUMBER(F26)),F26&lt;=0,NOT(ISNUMBER(G26))),"",G26/F26)</f>
        <v/>
      </c>
      <c r="X26" s="112" t="n"/>
      <c r="Y26" s="112" t="n"/>
      <c r="Z26" s="139">
        <f>IF(OR(NOT(ISNUMBER(X26)),X26&lt;=0,NOT(ISNUMBER(Y26))),"",Y26/X26)</f>
        <v/>
      </c>
      <c r="AA26" s="140">
        <f>IF(OR(NOT(ISNUMBER(A26)),B26=""),"",IF(B26="LinkedIn",IF(COUNTIFS('03_Chi_tieu'!$A$7:$A$96,A26,'03_Chi_tieu'!$E$7:$E$96,"&gt;=0")=0,"",SUMIF('03_Chi_tieu'!$A$7:$A$96,A26,'03_Chi_tieu'!$E$7:$E$96)),IF(B26="Search",IF(COUNTIFS('03_Chi_tieu'!$A$7:$A$96,A26,'03_Chi_tieu'!$F$7:$F$96,"&gt;=0")=0,"",SUMIF('03_Chi_tieu'!$A$7:$A$96,A26,'03_Chi_tieu'!$F$7:$F$96)),IF(B26="Retargeting",IF(COUNTIFS('03_Chi_tieu'!$A$7:$A$96,A26,'03_Chi_tieu'!$G$7:$G$96,"&gt;=0")=0,"",SUMIF('03_Chi_tieu'!$A$7:$A$96,A26,'03_Chi_tieu'!$G$7:$G$96)),IF(B26="Other",IF(COUNTIFS('03_Chi_tieu'!$A$7:$A$96,A26,'03_Chi_tieu'!$H$7:$H$96,"&gt;=0")=0,"",SUMIF('03_Chi_tieu'!$A$7:$A$96,A26,'03_Chi_tieu'!$H$7:$H$96)),"")))))</f>
        <v/>
      </c>
      <c r="AB26">
        <f>IF(G26="","",IF(NOT(ISNUMBER(G26)),"Chi không hợp lệ",IF(OR(NOT(ISNUMBER(A26)),B26=""),"Thiếu ngày/kênh",IF(COUNTIFS($A$5:$A$104,A26,$B$5:$B$104,B26)&gt;1,"Trùng ngày/kênh",IF(AA26="","Thiếu nguồn hoặc kênh",IF(G26=AA26,"Khớp","Lệch"))))))</f>
        <v/>
      </c>
    </row>
    <row r="27">
      <c r="A27" s="137" t="n"/>
      <c r="B27" s="112" t="n"/>
      <c r="C27" s="112" t="n"/>
      <c r="D27" s="112" t="n"/>
      <c r="E27" s="112" t="n"/>
      <c r="F27" s="112" t="n"/>
      <c r="G27" s="138" t="n"/>
      <c r="H27" s="112" t="n"/>
      <c r="I27" s="112" t="n"/>
      <c r="J27" s="112" t="n"/>
      <c r="K27" s="112" t="n"/>
      <c r="L27" s="112" t="n"/>
      <c r="M27" s="112" t="n"/>
      <c r="N27" s="139">
        <f>IF(OR(NOT(ISNUMBER(E27)),E27&lt;=0,NOT(ISNUMBER(F27))),"",F27/E27)</f>
        <v/>
      </c>
      <c r="O27" s="139">
        <f>IF(OR(NOT(ISNUMBER(H27)),H27&lt;=0,NOT(ISNUMBER(I27))),"",I27/H27)</f>
        <v/>
      </c>
      <c r="P27" s="139">
        <f>IF(OR(NOT(ISNUMBER(K27)),K27&lt;=0,NOT(ISNUMBER(J27))),"",J27/K27)</f>
        <v/>
      </c>
      <c r="Q27" s="139">
        <f>IF(OR(NOT(ISNUMBER(M27)),M27&lt;=0,NOT(ISNUMBER(L27))),"",L27/M27)</f>
        <v/>
      </c>
      <c r="R27" s="140">
        <f>IF(OR(NOT(ISNUMBER(I27)),I27&lt;=0,NOT(ISNUMBER(G27))),"",G27/I27)</f>
        <v/>
      </c>
      <c r="S27" s="112" t="n"/>
      <c r="T27" s="112" t="n"/>
      <c r="U27" s="112" t="n"/>
      <c r="V27" s="140">
        <f>IF(OR(NOT(ISNUMBER(E27)),E27&lt;=0,NOT(ISNUMBER(G27))),"",1000*G27/E27)</f>
        <v/>
      </c>
      <c r="W27" s="140">
        <f>IF(OR(NOT(ISNUMBER(F27)),F27&lt;=0,NOT(ISNUMBER(G27))),"",G27/F27)</f>
        <v/>
      </c>
      <c r="X27" s="112" t="n"/>
      <c r="Y27" s="112" t="n"/>
      <c r="Z27" s="139">
        <f>IF(OR(NOT(ISNUMBER(X27)),X27&lt;=0,NOT(ISNUMBER(Y27))),"",Y27/X27)</f>
        <v/>
      </c>
      <c r="AA27" s="140">
        <f>IF(OR(NOT(ISNUMBER(A27)),B27=""),"",IF(B27="LinkedIn",IF(COUNTIFS('03_Chi_tieu'!$A$7:$A$96,A27,'03_Chi_tieu'!$E$7:$E$96,"&gt;=0")=0,"",SUMIF('03_Chi_tieu'!$A$7:$A$96,A27,'03_Chi_tieu'!$E$7:$E$96)),IF(B27="Search",IF(COUNTIFS('03_Chi_tieu'!$A$7:$A$96,A27,'03_Chi_tieu'!$F$7:$F$96,"&gt;=0")=0,"",SUMIF('03_Chi_tieu'!$A$7:$A$96,A27,'03_Chi_tieu'!$F$7:$F$96)),IF(B27="Retargeting",IF(COUNTIFS('03_Chi_tieu'!$A$7:$A$96,A27,'03_Chi_tieu'!$G$7:$G$96,"&gt;=0")=0,"",SUMIF('03_Chi_tieu'!$A$7:$A$96,A27,'03_Chi_tieu'!$G$7:$G$96)),IF(B27="Other",IF(COUNTIFS('03_Chi_tieu'!$A$7:$A$96,A27,'03_Chi_tieu'!$H$7:$H$96,"&gt;=0")=0,"",SUMIF('03_Chi_tieu'!$A$7:$A$96,A27,'03_Chi_tieu'!$H$7:$H$96)),"")))))</f>
        <v/>
      </c>
      <c r="AB27">
        <f>IF(G27="","",IF(NOT(ISNUMBER(G27)),"Chi không hợp lệ",IF(OR(NOT(ISNUMBER(A27)),B27=""),"Thiếu ngày/kênh",IF(COUNTIFS($A$5:$A$104,A27,$B$5:$B$104,B27)&gt;1,"Trùng ngày/kênh",IF(AA27="","Thiếu nguồn hoặc kênh",IF(G27=AA27,"Khớp","Lệch"))))))</f>
        <v/>
      </c>
    </row>
    <row r="28">
      <c r="A28" s="137" t="n"/>
      <c r="B28" s="112" t="n"/>
      <c r="C28" s="112" t="n"/>
      <c r="D28" s="112" t="n"/>
      <c r="E28" s="112" t="n"/>
      <c r="F28" s="112" t="n"/>
      <c r="G28" s="138" t="n"/>
      <c r="H28" s="112" t="n"/>
      <c r="I28" s="112" t="n"/>
      <c r="J28" s="112" t="n"/>
      <c r="K28" s="112" t="n"/>
      <c r="L28" s="112" t="n"/>
      <c r="M28" s="112" t="n"/>
      <c r="N28" s="139">
        <f>IF(OR(NOT(ISNUMBER(E28)),E28&lt;=0,NOT(ISNUMBER(F28))),"",F28/E28)</f>
        <v/>
      </c>
      <c r="O28" s="139">
        <f>IF(OR(NOT(ISNUMBER(H28)),H28&lt;=0,NOT(ISNUMBER(I28))),"",I28/H28)</f>
        <v/>
      </c>
      <c r="P28" s="139">
        <f>IF(OR(NOT(ISNUMBER(K28)),K28&lt;=0,NOT(ISNUMBER(J28))),"",J28/K28)</f>
        <v/>
      </c>
      <c r="Q28" s="139">
        <f>IF(OR(NOT(ISNUMBER(M28)),M28&lt;=0,NOT(ISNUMBER(L28))),"",L28/M28)</f>
        <v/>
      </c>
      <c r="R28" s="140">
        <f>IF(OR(NOT(ISNUMBER(I28)),I28&lt;=0,NOT(ISNUMBER(G28))),"",G28/I28)</f>
        <v/>
      </c>
      <c r="S28" s="112" t="n"/>
      <c r="T28" s="112" t="n"/>
      <c r="U28" s="112" t="n"/>
      <c r="V28" s="140">
        <f>IF(OR(NOT(ISNUMBER(E28)),E28&lt;=0,NOT(ISNUMBER(G28))),"",1000*G28/E28)</f>
        <v/>
      </c>
      <c r="W28" s="140">
        <f>IF(OR(NOT(ISNUMBER(F28)),F28&lt;=0,NOT(ISNUMBER(G28))),"",G28/F28)</f>
        <v/>
      </c>
      <c r="X28" s="112" t="n"/>
      <c r="Y28" s="112" t="n"/>
      <c r="Z28" s="139">
        <f>IF(OR(NOT(ISNUMBER(X28)),X28&lt;=0,NOT(ISNUMBER(Y28))),"",Y28/X28)</f>
        <v/>
      </c>
      <c r="AA28" s="140">
        <f>IF(OR(NOT(ISNUMBER(A28)),B28=""),"",IF(B28="LinkedIn",IF(COUNTIFS('03_Chi_tieu'!$A$7:$A$96,A28,'03_Chi_tieu'!$E$7:$E$96,"&gt;=0")=0,"",SUMIF('03_Chi_tieu'!$A$7:$A$96,A28,'03_Chi_tieu'!$E$7:$E$96)),IF(B28="Search",IF(COUNTIFS('03_Chi_tieu'!$A$7:$A$96,A28,'03_Chi_tieu'!$F$7:$F$96,"&gt;=0")=0,"",SUMIF('03_Chi_tieu'!$A$7:$A$96,A28,'03_Chi_tieu'!$F$7:$F$96)),IF(B28="Retargeting",IF(COUNTIFS('03_Chi_tieu'!$A$7:$A$96,A28,'03_Chi_tieu'!$G$7:$G$96,"&gt;=0")=0,"",SUMIF('03_Chi_tieu'!$A$7:$A$96,A28,'03_Chi_tieu'!$G$7:$G$96)),IF(B28="Other",IF(COUNTIFS('03_Chi_tieu'!$A$7:$A$96,A28,'03_Chi_tieu'!$H$7:$H$96,"&gt;=0")=0,"",SUMIF('03_Chi_tieu'!$A$7:$A$96,A28,'03_Chi_tieu'!$H$7:$H$96)),"")))))</f>
        <v/>
      </c>
      <c r="AB28">
        <f>IF(G28="","",IF(NOT(ISNUMBER(G28)),"Chi không hợp lệ",IF(OR(NOT(ISNUMBER(A28)),B28=""),"Thiếu ngày/kênh",IF(COUNTIFS($A$5:$A$104,A28,$B$5:$B$104,B28)&gt;1,"Trùng ngày/kênh",IF(AA28="","Thiếu nguồn hoặc kênh",IF(G28=AA28,"Khớp","Lệch"))))))</f>
        <v/>
      </c>
    </row>
    <row r="29">
      <c r="A29" s="137" t="n"/>
      <c r="B29" s="112" t="n"/>
      <c r="C29" s="112" t="n"/>
      <c r="D29" s="112" t="n"/>
      <c r="E29" s="112" t="n"/>
      <c r="F29" s="112" t="n"/>
      <c r="G29" s="138" t="n"/>
      <c r="H29" s="112" t="n"/>
      <c r="I29" s="112" t="n"/>
      <c r="J29" s="112" t="n"/>
      <c r="K29" s="112" t="n"/>
      <c r="L29" s="112" t="n"/>
      <c r="M29" s="112" t="n"/>
      <c r="N29" s="139">
        <f>IF(OR(NOT(ISNUMBER(E29)),E29&lt;=0,NOT(ISNUMBER(F29))),"",F29/E29)</f>
        <v/>
      </c>
      <c r="O29" s="139">
        <f>IF(OR(NOT(ISNUMBER(H29)),H29&lt;=0,NOT(ISNUMBER(I29))),"",I29/H29)</f>
        <v/>
      </c>
      <c r="P29" s="139">
        <f>IF(OR(NOT(ISNUMBER(K29)),K29&lt;=0,NOT(ISNUMBER(J29))),"",J29/K29)</f>
        <v/>
      </c>
      <c r="Q29" s="139">
        <f>IF(OR(NOT(ISNUMBER(M29)),M29&lt;=0,NOT(ISNUMBER(L29))),"",L29/M29)</f>
        <v/>
      </c>
      <c r="R29" s="140">
        <f>IF(OR(NOT(ISNUMBER(I29)),I29&lt;=0,NOT(ISNUMBER(G29))),"",G29/I29)</f>
        <v/>
      </c>
      <c r="S29" s="112" t="n"/>
      <c r="T29" s="112" t="n"/>
      <c r="U29" s="112" t="n"/>
      <c r="V29" s="140">
        <f>IF(OR(NOT(ISNUMBER(E29)),E29&lt;=0,NOT(ISNUMBER(G29))),"",1000*G29/E29)</f>
        <v/>
      </c>
      <c r="W29" s="140">
        <f>IF(OR(NOT(ISNUMBER(F29)),F29&lt;=0,NOT(ISNUMBER(G29))),"",G29/F29)</f>
        <v/>
      </c>
      <c r="X29" s="112" t="n"/>
      <c r="Y29" s="112" t="n"/>
      <c r="Z29" s="139">
        <f>IF(OR(NOT(ISNUMBER(X29)),X29&lt;=0,NOT(ISNUMBER(Y29))),"",Y29/X29)</f>
        <v/>
      </c>
      <c r="AA29" s="140">
        <f>IF(OR(NOT(ISNUMBER(A29)),B29=""),"",IF(B29="LinkedIn",IF(COUNTIFS('03_Chi_tieu'!$A$7:$A$96,A29,'03_Chi_tieu'!$E$7:$E$96,"&gt;=0")=0,"",SUMIF('03_Chi_tieu'!$A$7:$A$96,A29,'03_Chi_tieu'!$E$7:$E$96)),IF(B29="Search",IF(COUNTIFS('03_Chi_tieu'!$A$7:$A$96,A29,'03_Chi_tieu'!$F$7:$F$96,"&gt;=0")=0,"",SUMIF('03_Chi_tieu'!$A$7:$A$96,A29,'03_Chi_tieu'!$F$7:$F$96)),IF(B29="Retargeting",IF(COUNTIFS('03_Chi_tieu'!$A$7:$A$96,A29,'03_Chi_tieu'!$G$7:$G$96,"&gt;=0")=0,"",SUMIF('03_Chi_tieu'!$A$7:$A$96,A29,'03_Chi_tieu'!$G$7:$G$96)),IF(B29="Other",IF(COUNTIFS('03_Chi_tieu'!$A$7:$A$96,A29,'03_Chi_tieu'!$H$7:$H$96,"&gt;=0")=0,"",SUMIF('03_Chi_tieu'!$A$7:$A$96,A29,'03_Chi_tieu'!$H$7:$H$96)),"")))))</f>
        <v/>
      </c>
      <c r="AB29">
        <f>IF(G29="","",IF(NOT(ISNUMBER(G29)),"Chi không hợp lệ",IF(OR(NOT(ISNUMBER(A29)),B29=""),"Thiếu ngày/kênh",IF(COUNTIFS($A$5:$A$104,A29,$B$5:$B$104,B29)&gt;1,"Trùng ngày/kênh",IF(AA29="","Thiếu nguồn hoặc kênh",IF(G29=AA29,"Khớp","Lệch"))))))</f>
        <v/>
      </c>
    </row>
    <row r="30">
      <c r="A30" s="137" t="n"/>
      <c r="B30" s="112" t="n"/>
      <c r="C30" s="112" t="n"/>
      <c r="D30" s="112" t="n"/>
      <c r="E30" s="112" t="n"/>
      <c r="F30" s="112" t="n"/>
      <c r="G30" s="138" t="n"/>
      <c r="H30" s="112" t="n"/>
      <c r="I30" s="112" t="n"/>
      <c r="J30" s="112" t="n"/>
      <c r="K30" s="112" t="n"/>
      <c r="L30" s="112" t="n"/>
      <c r="M30" s="112" t="n"/>
      <c r="N30" s="139">
        <f>IF(OR(NOT(ISNUMBER(E30)),E30&lt;=0,NOT(ISNUMBER(F30))),"",F30/E30)</f>
        <v/>
      </c>
      <c r="O30" s="139">
        <f>IF(OR(NOT(ISNUMBER(H30)),H30&lt;=0,NOT(ISNUMBER(I30))),"",I30/H30)</f>
        <v/>
      </c>
      <c r="P30" s="139">
        <f>IF(OR(NOT(ISNUMBER(K30)),K30&lt;=0,NOT(ISNUMBER(J30))),"",J30/K30)</f>
        <v/>
      </c>
      <c r="Q30" s="139">
        <f>IF(OR(NOT(ISNUMBER(M30)),M30&lt;=0,NOT(ISNUMBER(L30))),"",L30/M30)</f>
        <v/>
      </c>
      <c r="R30" s="140">
        <f>IF(OR(NOT(ISNUMBER(I30)),I30&lt;=0,NOT(ISNUMBER(G30))),"",G30/I30)</f>
        <v/>
      </c>
      <c r="S30" s="112" t="n"/>
      <c r="T30" s="112" t="n"/>
      <c r="U30" s="112" t="n"/>
      <c r="V30" s="140">
        <f>IF(OR(NOT(ISNUMBER(E30)),E30&lt;=0,NOT(ISNUMBER(G30))),"",1000*G30/E30)</f>
        <v/>
      </c>
      <c r="W30" s="140">
        <f>IF(OR(NOT(ISNUMBER(F30)),F30&lt;=0,NOT(ISNUMBER(G30))),"",G30/F30)</f>
        <v/>
      </c>
      <c r="X30" s="112" t="n"/>
      <c r="Y30" s="112" t="n"/>
      <c r="Z30" s="139">
        <f>IF(OR(NOT(ISNUMBER(X30)),X30&lt;=0,NOT(ISNUMBER(Y30))),"",Y30/X30)</f>
        <v/>
      </c>
      <c r="AA30" s="140">
        <f>IF(OR(NOT(ISNUMBER(A30)),B30=""),"",IF(B30="LinkedIn",IF(COUNTIFS('03_Chi_tieu'!$A$7:$A$96,A30,'03_Chi_tieu'!$E$7:$E$96,"&gt;=0")=0,"",SUMIF('03_Chi_tieu'!$A$7:$A$96,A30,'03_Chi_tieu'!$E$7:$E$96)),IF(B30="Search",IF(COUNTIFS('03_Chi_tieu'!$A$7:$A$96,A30,'03_Chi_tieu'!$F$7:$F$96,"&gt;=0")=0,"",SUMIF('03_Chi_tieu'!$A$7:$A$96,A30,'03_Chi_tieu'!$F$7:$F$96)),IF(B30="Retargeting",IF(COUNTIFS('03_Chi_tieu'!$A$7:$A$96,A30,'03_Chi_tieu'!$G$7:$G$96,"&gt;=0")=0,"",SUMIF('03_Chi_tieu'!$A$7:$A$96,A30,'03_Chi_tieu'!$G$7:$G$96)),IF(B30="Other",IF(COUNTIFS('03_Chi_tieu'!$A$7:$A$96,A30,'03_Chi_tieu'!$H$7:$H$96,"&gt;=0")=0,"",SUMIF('03_Chi_tieu'!$A$7:$A$96,A30,'03_Chi_tieu'!$H$7:$H$96)),"")))))</f>
        <v/>
      </c>
      <c r="AB30">
        <f>IF(G30="","",IF(NOT(ISNUMBER(G30)),"Chi không hợp lệ",IF(OR(NOT(ISNUMBER(A30)),B30=""),"Thiếu ngày/kênh",IF(COUNTIFS($A$5:$A$104,A30,$B$5:$B$104,B30)&gt;1,"Trùng ngày/kênh",IF(AA30="","Thiếu nguồn hoặc kênh",IF(G30=AA30,"Khớp","Lệch"))))))</f>
        <v/>
      </c>
    </row>
    <row r="31">
      <c r="A31" s="137" t="n"/>
      <c r="B31" s="112" t="n"/>
      <c r="C31" s="112" t="n"/>
      <c r="D31" s="112" t="n"/>
      <c r="E31" s="112" t="n"/>
      <c r="F31" s="112" t="n"/>
      <c r="G31" s="138" t="n"/>
      <c r="H31" s="112" t="n"/>
      <c r="I31" s="112" t="n"/>
      <c r="J31" s="112" t="n"/>
      <c r="K31" s="112" t="n"/>
      <c r="L31" s="112" t="n"/>
      <c r="M31" s="112" t="n"/>
      <c r="N31" s="139">
        <f>IF(OR(NOT(ISNUMBER(E31)),E31&lt;=0,NOT(ISNUMBER(F31))),"",F31/E31)</f>
        <v/>
      </c>
      <c r="O31" s="139">
        <f>IF(OR(NOT(ISNUMBER(H31)),H31&lt;=0,NOT(ISNUMBER(I31))),"",I31/H31)</f>
        <v/>
      </c>
      <c r="P31" s="139">
        <f>IF(OR(NOT(ISNUMBER(K31)),K31&lt;=0,NOT(ISNUMBER(J31))),"",J31/K31)</f>
        <v/>
      </c>
      <c r="Q31" s="139">
        <f>IF(OR(NOT(ISNUMBER(M31)),M31&lt;=0,NOT(ISNUMBER(L31))),"",L31/M31)</f>
        <v/>
      </c>
      <c r="R31" s="140">
        <f>IF(OR(NOT(ISNUMBER(I31)),I31&lt;=0,NOT(ISNUMBER(G31))),"",G31/I31)</f>
        <v/>
      </c>
      <c r="S31" s="112" t="n"/>
      <c r="T31" s="112" t="n"/>
      <c r="U31" s="112" t="n"/>
      <c r="V31" s="140">
        <f>IF(OR(NOT(ISNUMBER(E31)),E31&lt;=0,NOT(ISNUMBER(G31))),"",1000*G31/E31)</f>
        <v/>
      </c>
      <c r="W31" s="140">
        <f>IF(OR(NOT(ISNUMBER(F31)),F31&lt;=0,NOT(ISNUMBER(G31))),"",G31/F31)</f>
        <v/>
      </c>
      <c r="X31" s="112" t="n"/>
      <c r="Y31" s="112" t="n"/>
      <c r="Z31" s="139">
        <f>IF(OR(NOT(ISNUMBER(X31)),X31&lt;=0,NOT(ISNUMBER(Y31))),"",Y31/X31)</f>
        <v/>
      </c>
      <c r="AA31" s="140">
        <f>IF(OR(NOT(ISNUMBER(A31)),B31=""),"",IF(B31="LinkedIn",IF(COUNTIFS('03_Chi_tieu'!$A$7:$A$96,A31,'03_Chi_tieu'!$E$7:$E$96,"&gt;=0")=0,"",SUMIF('03_Chi_tieu'!$A$7:$A$96,A31,'03_Chi_tieu'!$E$7:$E$96)),IF(B31="Search",IF(COUNTIFS('03_Chi_tieu'!$A$7:$A$96,A31,'03_Chi_tieu'!$F$7:$F$96,"&gt;=0")=0,"",SUMIF('03_Chi_tieu'!$A$7:$A$96,A31,'03_Chi_tieu'!$F$7:$F$96)),IF(B31="Retargeting",IF(COUNTIFS('03_Chi_tieu'!$A$7:$A$96,A31,'03_Chi_tieu'!$G$7:$G$96,"&gt;=0")=0,"",SUMIF('03_Chi_tieu'!$A$7:$A$96,A31,'03_Chi_tieu'!$G$7:$G$96)),IF(B31="Other",IF(COUNTIFS('03_Chi_tieu'!$A$7:$A$96,A31,'03_Chi_tieu'!$H$7:$H$96,"&gt;=0")=0,"",SUMIF('03_Chi_tieu'!$A$7:$A$96,A31,'03_Chi_tieu'!$H$7:$H$96)),"")))))</f>
        <v/>
      </c>
      <c r="AB31">
        <f>IF(G31="","",IF(NOT(ISNUMBER(G31)),"Chi không hợp lệ",IF(OR(NOT(ISNUMBER(A31)),B31=""),"Thiếu ngày/kênh",IF(COUNTIFS($A$5:$A$104,A31,$B$5:$B$104,B31)&gt;1,"Trùng ngày/kênh",IF(AA31="","Thiếu nguồn hoặc kênh",IF(G31=AA31,"Khớp","Lệch"))))))</f>
        <v/>
      </c>
    </row>
    <row r="32">
      <c r="A32" s="137" t="n"/>
      <c r="B32" s="112" t="n"/>
      <c r="C32" s="112" t="n"/>
      <c r="D32" s="112" t="n"/>
      <c r="E32" s="112" t="n"/>
      <c r="F32" s="112" t="n"/>
      <c r="G32" s="138" t="n"/>
      <c r="H32" s="112" t="n"/>
      <c r="I32" s="112" t="n"/>
      <c r="J32" s="112" t="n"/>
      <c r="K32" s="112" t="n"/>
      <c r="L32" s="112" t="n"/>
      <c r="M32" s="112" t="n"/>
      <c r="N32" s="139">
        <f>IF(OR(NOT(ISNUMBER(E32)),E32&lt;=0,NOT(ISNUMBER(F32))),"",F32/E32)</f>
        <v/>
      </c>
      <c r="O32" s="139">
        <f>IF(OR(NOT(ISNUMBER(H32)),H32&lt;=0,NOT(ISNUMBER(I32))),"",I32/H32)</f>
        <v/>
      </c>
      <c r="P32" s="139">
        <f>IF(OR(NOT(ISNUMBER(K32)),K32&lt;=0,NOT(ISNUMBER(J32))),"",J32/K32)</f>
        <v/>
      </c>
      <c r="Q32" s="139">
        <f>IF(OR(NOT(ISNUMBER(M32)),M32&lt;=0,NOT(ISNUMBER(L32))),"",L32/M32)</f>
        <v/>
      </c>
      <c r="R32" s="140">
        <f>IF(OR(NOT(ISNUMBER(I32)),I32&lt;=0,NOT(ISNUMBER(G32))),"",G32/I32)</f>
        <v/>
      </c>
      <c r="S32" s="112" t="n"/>
      <c r="T32" s="112" t="n"/>
      <c r="U32" s="112" t="n"/>
      <c r="V32" s="140">
        <f>IF(OR(NOT(ISNUMBER(E32)),E32&lt;=0,NOT(ISNUMBER(G32))),"",1000*G32/E32)</f>
        <v/>
      </c>
      <c r="W32" s="140">
        <f>IF(OR(NOT(ISNUMBER(F32)),F32&lt;=0,NOT(ISNUMBER(G32))),"",G32/F32)</f>
        <v/>
      </c>
      <c r="X32" s="112" t="n"/>
      <c r="Y32" s="112" t="n"/>
      <c r="Z32" s="139">
        <f>IF(OR(NOT(ISNUMBER(X32)),X32&lt;=0,NOT(ISNUMBER(Y32))),"",Y32/X32)</f>
        <v/>
      </c>
      <c r="AA32" s="140">
        <f>IF(OR(NOT(ISNUMBER(A32)),B32=""),"",IF(B32="LinkedIn",IF(COUNTIFS('03_Chi_tieu'!$A$7:$A$96,A32,'03_Chi_tieu'!$E$7:$E$96,"&gt;=0")=0,"",SUMIF('03_Chi_tieu'!$A$7:$A$96,A32,'03_Chi_tieu'!$E$7:$E$96)),IF(B32="Search",IF(COUNTIFS('03_Chi_tieu'!$A$7:$A$96,A32,'03_Chi_tieu'!$F$7:$F$96,"&gt;=0")=0,"",SUMIF('03_Chi_tieu'!$A$7:$A$96,A32,'03_Chi_tieu'!$F$7:$F$96)),IF(B32="Retargeting",IF(COUNTIFS('03_Chi_tieu'!$A$7:$A$96,A32,'03_Chi_tieu'!$G$7:$G$96,"&gt;=0")=0,"",SUMIF('03_Chi_tieu'!$A$7:$A$96,A32,'03_Chi_tieu'!$G$7:$G$96)),IF(B32="Other",IF(COUNTIFS('03_Chi_tieu'!$A$7:$A$96,A32,'03_Chi_tieu'!$H$7:$H$96,"&gt;=0")=0,"",SUMIF('03_Chi_tieu'!$A$7:$A$96,A32,'03_Chi_tieu'!$H$7:$H$96)),"")))))</f>
        <v/>
      </c>
      <c r="AB32">
        <f>IF(G32="","",IF(NOT(ISNUMBER(G32)),"Chi không hợp lệ",IF(OR(NOT(ISNUMBER(A32)),B32=""),"Thiếu ngày/kênh",IF(COUNTIFS($A$5:$A$104,A32,$B$5:$B$104,B32)&gt;1,"Trùng ngày/kênh",IF(AA32="","Thiếu nguồn hoặc kênh",IF(G32=AA32,"Khớp","Lệch"))))))</f>
        <v/>
      </c>
    </row>
    <row r="33">
      <c r="A33" s="137" t="n"/>
      <c r="B33" s="112" t="n"/>
      <c r="C33" s="112" t="n"/>
      <c r="D33" s="112" t="n"/>
      <c r="E33" s="112" t="n"/>
      <c r="F33" s="112" t="n"/>
      <c r="G33" s="138" t="n"/>
      <c r="H33" s="112" t="n"/>
      <c r="I33" s="112" t="n"/>
      <c r="J33" s="112" t="n"/>
      <c r="K33" s="112" t="n"/>
      <c r="L33" s="112" t="n"/>
      <c r="M33" s="112" t="n"/>
      <c r="N33" s="139">
        <f>IF(OR(NOT(ISNUMBER(E33)),E33&lt;=0,NOT(ISNUMBER(F33))),"",F33/E33)</f>
        <v/>
      </c>
      <c r="O33" s="139">
        <f>IF(OR(NOT(ISNUMBER(H33)),H33&lt;=0,NOT(ISNUMBER(I33))),"",I33/H33)</f>
        <v/>
      </c>
      <c r="P33" s="139">
        <f>IF(OR(NOT(ISNUMBER(K33)),K33&lt;=0,NOT(ISNUMBER(J33))),"",J33/K33)</f>
        <v/>
      </c>
      <c r="Q33" s="139">
        <f>IF(OR(NOT(ISNUMBER(M33)),M33&lt;=0,NOT(ISNUMBER(L33))),"",L33/M33)</f>
        <v/>
      </c>
      <c r="R33" s="140">
        <f>IF(OR(NOT(ISNUMBER(I33)),I33&lt;=0,NOT(ISNUMBER(G33))),"",G33/I33)</f>
        <v/>
      </c>
      <c r="S33" s="112" t="n"/>
      <c r="T33" s="112" t="n"/>
      <c r="U33" s="112" t="n"/>
      <c r="V33" s="140">
        <f>IF(OR(NOT(ISNUMBER(E33)),E33&lt;=0,NOT(ISNUMBER(G33))),"",1000*G33/E33)</f>
        <v/>
      </c>
      <c r="W33" s="140">
        <f>IF(OR(NOT(ISNUMBER(F33)),F33&lt;=0,NOT(ISNUMBER(G33))),"",G33/F33)</f>
        <v/>
      </c>
      <c r="X33" s="112" t="n"/>
      <c r="Y33" s="112" t="n"/>
      <c r="Z33" s="139">
        <f>IF(OR(NOT(ISNUMBER(X33)),X33&lt;=0,NOT(ISNUMBER(Y33))),"",Y33/X33)</f>
        <v/>
      </c>
      <c r="AA33" s="140">
        <f>IF(OR(NOT(ISNUMBER(A33)),B33=""),"",IF(B33="LinkedIn",IF(COUNTIFS('03_Chi_tieu'!$A$7:$A$96,A33,'03_Chi_tieu'!$E$7:$E$96,"&gt;=0")=0,"",SUMIF('03_Chi_tieu'!$A$7:$A$96,A33,'03_Chi_tieu'!$E$7:$E$96)),IF(B33="Search",IF(COUNTIFS('03_Chi_tieu'!$A$7:$A$96,A33,'03_Chi_tieu'!$F$7:$F$96,"&gt;=0")=0,"",SUMIF('03_Chi_tieu'!$A$7:$A$96,A33,'03_Chi_tieu'!$F$7:$F$96)),IF(B33="Retargeting",IF(COUNTIFS('03_Chi_tieu'!$A$7:$A$96,A33,'03_Chi_tieu'!$G$7:$G$96,"&gt;=0")=0,"",SUMIF('03_Chi_tieu'!$A$7:$A$96,A33,'03_Chi_tieu'!$G$7:$G$96)),IF(B33="Other",IF(COUNTIFS('03_Chi_tieu'!$A$7:$A$96,A33,'03_Chi_tieu'!$H$7:$H$96,"&gt;=0")=0,"",SUMIF('03_Chi_tieu'!$A$7:$A$96,A33,'03_Chi_tieu'!$H$7:$H$96)),"")))))</f>
        <v/>
      </c>
      <c r="AB33">
        <f>IF(G33="","",IF(NOT(ISNUMBER(G33)),"Chi không hợp lệ",IF(OR(NOT(ISNUMBER(A33)),B33=""),"Thiếu ngày/kênh",IF(COUNTIFS($A$5:$A$104,A33,$B$5:$B$104,B33)&gt;1,"Trùng ngày/kênh",IF(AA33="","Thiếu nguồn hoặc kênh",IF(G33=AA33,"Khớp","Lệch"))))))</f>
        <v/>
      </c>
    </row>
    <row r="34">
      <c r="A34" s="137" t="n"/>
      <c r="B34" s="112" t="n"/>
      <c r="C34" s="112" t="n"/>
      <c r="D34" s="112" t="n"/>
      <c r="E34" s="112" t="n"/>
      <c r="F34" s="112" t="n"/>
      <c r="G34" s="138" t="n"/>
      <c r="H34" s="112" t="n"/>
      <c r="I34" s="112" t="n"/>
      <c r="J34" s="112" t="n"/>
      <c r="K34" s="112" t="n"/>
      <c r="L34" s="112" t="n"/>
      <c r="M34" s="112" t="n"/>
      <c r="N34" s="139">
        <f>IF(OR(NOT(ISNUMBER(E34)),E34&lt;=0,NOT(ISNUMBER(F34))),"",F34/E34)</f>
        <v/>
      </c>
      <c r="O34" s="139">
        <f>IF(OR(NOT(ISNUMBER(H34)),H34&lt;=0,NOT(ISNUMBER(I34))),"",I34/H34)</f>
        <v/>
      </c>
      <c r="P34" s="139">
        <f>IF(OR(NOT(ISNUMBER(K34)),K34&lt;=0,NOT(ISNUMBER(J34))),"",J34/K34)</f>
        <v/>
      </c>
      <c r="Q34" s="139">
        <f>IF(OR(NOT(ISNUMBER(M34)),M34&lt;=0,NOT(ISNUMBER(L34))),"",L34/M34)</f>
        <v/>
      </c>
      <c r="R34" s="140">
        <f>IF(OR(NOT(ISNUMBER(I34)),I34&lt;=0,NOT(ISNUMBER(G34))),"",G34/I34)</f>
        <v/>
      </c>
      <c r="S34" s="112" t="n"/>
      <c r="T34" s="112" t="n"/>
      <c r="U34" s="112" t="n"/>
      <c r="V34" s="140">
        <f>IF(OR(NOT(ISNUMBER(E34)),E34&lt;=0,NOT(ISNUMBER(G34))),"",1000*G34/E34)</f>
        <v/>
      </c>
      <c r="W34" s="140">
        <f>IF(OR(NOT(ISNUMBER(F34)),F34&lt;=0,NOT(ISNUMBER(G34))),"",G34/F34)</f>
        <v/>
      </c>
      <c r="X34" s="112" t="n"/>
      <c r="Y34" s="112" t="n"/>
      <c r="Z34" s="139">
        <f>IF(OR(NOT(ISNUMBER(X34)),X34&lt;=0,NOT(ISNUMBER(Y34))),"",Y34/X34)</f>
        <v/>
      </c>
      <c r="AA34" s="140">
        <f>IF(OR(NOT(ISNUMBER(A34)),B34=""),"",IF(B34="LinkedIn",IF(COUNTIFS('03_Chi_tieu'!$A$7:$A$96,A34,'03_Chi_tieu'!$E$7:$E$96,"&gt;=0")=0,"",SUMIF('03_Chi_tieu'!$A$7:$A$96,A34,'03_Chi_tieu'!$E$7:$E$96)),IF(B34="Search",IF(COUNTIFS('03_Chi_tieu'!$A$7:$A$96,A34,'03_Chi_tieu'!$F$7:$F$96,"&gt;=0")=0,"",SUMIF('03_Chi_tieu'!$A$7:$A$96,A34,'03_Chi_tieu'!$F$7:$F$96)),IF(B34="Retargeting",IF(COUNTIFS('03_Chi_tieu'!$A$7:$A$96,A34,'03_Chi_tieu'!$G$7:$G$96,"&gt;=0")=0,"",SUMIF('03_Chi_tieu'!$A$7:$A$96,A34,'03_Chi_tieu'!$G$7:$G$96)),IF(B34="Other",IF(COUNTIFS('03_Chi_tieu'!$A$7:$A$96,A34,'03_Chi_tieu'!$H$7:$H$96,"&gt;=0")=0,"",SUMIF('03_Chi_tieu'!$A$7:$A$96,A34,'03_Chi_tieu'!$H$7:$H$96)),"")))))</f>
        <v/>
      </c>
      <c r="AB34">
        <f>IF(G34="","",IF(NOT(ISNUMBER(G34)),"Chi không hợp lệ",IF(OR(NOT(ISNUMBER(A34)),B34=""),"Thiếu ngày/kênh",IF(COUNTIFS($A$5:$A$104,A34,$B$5:$B$104,B34)&gt;1,"Trùng ngày/kênh",IF(AA34="","Thiếu nguồn hoặc kênh",IF(G34=AA34,"Khớp","Lệch"))))))</f>
        <v/>
      </c>
    </row>
    <row r="35">
      <c r="A35" s="137" t="n"/>
      <c r="B35" s="112" t="n"/>
      <c r="C35" s="112" t="n"/>
      <c r="D35" s="112" t="n"/>
      <c r="E35" s="112" t="n"/>
      <c r="F35" s="112" t="n"/>
      <c r="G35" s="138" t="n"/>
      <c r="H35" s="112" t="n"/>
      <c r="I35" s="112" t="n"/>
      <c r="J35" s="112" t="n"/>
      <c r="K35" s="112" t="n"/>
      <c r="L35" s="112" t="n"/>
      <c r="M35" s="112" t="n"/>
      <c r="N35" s="139">
        <f>IF(OR(NOT(ISNUMBER(E35)),E35&lt;=0,NOT(ISNUMBER(F35))),"",F35/E35)</f>
        <v/>
      </c>
      <c r="O35" s="139">
        <f>IF(OR(NOT(ISNUMBER(H35)),H35&lt;=0,NOT(ISNUMBER(I35))),"",I35/H35)</f>
        <v/>
      </c>
      <c r="P35" s="139">
        <f>IF(OR(NOT(ISNUMBER(K35)),K35&lt;=0,NOT(ISNUMBER(J35))),"",J35/K35)</f>
        <v/>
      </c>
      <c r="Q35" s="139">
        <f>IF(OR(NOT(ISNUMBER(M35)),M35&lt;=0,NOT(ISNUMBER(L35))),"",L35/M35)</f>
        <v/>
      </c>
      <c r="R35" s="140">
        <f>IF(OR(NOT(ISNUMBER(I35)),I35&lt;=0,NOT(ISNUMBER(G35))),"",G35/I35)</f>
        <v/>
      </c>
      <c r="S35" s="112" t="n"/>
      <c r="T35" s="112" t="n"/>
      <c r="U35" s="112" t="n"/>
      <c r="V35" s="140">
        <f>IF(OR(NOT(ISNUMBER(E35)),E35&lt;=0,NOT(ISNUMBER(G35))),"",1000*G35/E35)</f>
        <v/>
      </c>
      <c r="W35" s="140">
        <f>IF(OR(NOT(ISNUMBER(F35)),F35&lt;=0,NOT(ISNUMBER(G35))),"",G35/F35)</f>
        <v/>
      </c>
      <c r="X35" s="112" t="n"/>
      <c r="Y35" s="112" t="n"/>
      <c r="Z35" s="139">
        <f>IF(OR(NOT(ISNUMBER(X35)),X35&lt;=0,NOT(ISNUMBER(Y35))),"",Y35/X35)</f>
        <v/>
      </c>
      <c r="AA35" s="140">
        <f>IF(OR(NOT(ISNUMBER(A35)),B35=""),"",IF(B35="LinkedIn",IF(COUNTIFS('03_Chi_tieu'!$A$7:$A$96,A35,'03_Chi_tieu'!$E$7:$E$96,"&gt;=0")=0,"",SUMIF('03_Chi_tieu'!$A$7:$A$96,A35,'03_Chi_tieu'!$E$7:$E$96)),IF(B35="Search",IF(COUNTIFS('03_Chi_tieu'!$A$7:$A$96,A35,'03_Chi_tieu'!$F$7:$F$96,"&gt;=0")=0,"",SUMIF('03_Chi_tieu'!$A$7:$A$96,A35,'03_Chi_tieu'!$F$7:$F$96)),IF(B35="Retargeting",IF(COUNTIFS('03_Chi_tieu'!$A$7:$A$96,A35,'03_Chi_tieu'!$G$7:$G$96,"&gt;=0")=0,"",SUMIF('03_Chi_tieu'!$A$7:$A$96,A35,'03_Chi_tieu'!$G$7:$G$96)),IF(B35="Other",IF(COUNTIFS('03_Chi_tieu'!$A$7:$A$96,A35,'03_Chi_tieu'!$H$7:$H$96,"&gt;=0")=0,"",SUMIF('03_Chi_tieu'!$A$7:$A$96,A35,'03_Chi_tieu'!$H$7:$H$96)),"")))))</f>
        <v/>
      </c>
      <c r="AB35">
        <f>IF(G35="","",IF(NOT(ISNUMBER(G35)),"Chi không hợp lệ",IF(OR(NOT(ISNUMBER(A35)),B35=""),"Thiếu ngày/kênh",IF(COUNTIFS($A$5:$A$104,A35,$B$5:$B$104,B35)&gt;1,"Trùng ngày/kênh",IF(AA35="","Thiếu nguồn hoặc kênh",IF(G35=AA35,"Khớp","Lệch"))))))</f>
        <v/>
      </c>
    </row>
    <row r="36">
      <c r="A36" s="137" t="n"/>
      <c r="B36" s="112" t="n"/>
      <c r="C36" s="112" t="n"/>
      <c r="D36" s="112" t="n"/>
      <c r="E36" s="112" t="n"/>
      <c r="F36" s="112" t="n"/>
      <c r="G36" s="138" t="n"/>
      <c r="H36" s="112" t="n"/>
      <c r="I36" s="112" t="n"/>
      <c r="J36" s="112" t="n"/>
      <c r="K36" s="112" t="n"/>
      <c r="L36" s="112" t="n"/>
      <c r="M36" s="112" t="n"/>
      <c r="N36" s="139">
        <f>IF(OR(NOT(ISNUMBER(E36)),E36&lt;=0,NOT(ISNUMBER(F36))),"",F36/E36)</f>
        <v/>
      </c>
      <c r="O36" s="139">
        <f>IF(OR(NOT(ISNUMBER(H36)),H36&lt;=0,NOT(ISNUMBER(I36))),"",I36/H36)</f>
        <v/>
      </c>
      <c r="P36" s="139">
        <f>IF(OR(NOT(ISNUMBER(K36)),K36&lt;=0,NOT(ISNUMBER(J36))),"",J36/K36)</f>
        <v/>
      </c>
      <c r="Q36" s="139">
        <f>IF(OR(NOT(ISNUMBER(M36)),M36&lt;=0,NOT(ISNUMBER(L36))),"",L36/M36)</f>
        <v/>
      </c>
      <c r="R36" s="140">
        <f>IF(OR(NOT(ISNUMBER(I36)),I36&lt;=0,NOT(ISNUMBER(G36))),"",G36/I36)</f>
        <v/>
      </c>
      <c r="S36" s="112" t="n"/>
      <c r="T36" s="112" t="n"/>
      <c r="U36" s="112" t="n"/>
      <c r="V36" s="140">
        <f>IF(OR(NOT(ISNUMBER(E36)),E36&lt;=0,NOT(ISNUMBER(G36))),"",1000*G36/E36)</f>
        <v/>
      </c>
      <c r="W36" s="140">
        <f>IF(OR(NOT(ISNUMBER(F36)),F36&lt;=0,NOT(ISNUMBER(G36))),"",G36/F36)</f>
        <v/>
      </c>
      <c r="X36" s="112" t="n"/>
      <c r="Y36" s="112" t="n"/>
      <c r="Z36" s="139">
        <f>IF(OR(NOT(ISNUMBER(X36)),X36&lt;=0,NOT(ISNUMBER(Y36))),"",Y36/X36)</f>
        <v/>
      </c>
      <c r="AA36" s="140">
        <f>IF(OR(NOT(ISNUMBER(A36)),B36=""),"",IF(B36="LinkedIn",IF(COUNTIFS('03_Chi_tieu'!$A$7:$A$96,A36,'03_Chi_tieu'!$E$7:$E$96,"&gt;=0")=0,"",SUMIF('03_Chi_tieu'!$A$7:$A$96,A36,'03_Chi_tieu'!$E$7:$E$96)),IF(B36="Search",IF(COUNTIFS('03_Chi_tieu'!$A$7:$A$96,A36,'03_Chi_tieu'!$F$7:$F$96,"&gt;=0")=0,"",SUMIF('03_Chi_tieu'!$A$7:$A$96,A36,'03_Chi_tieu'!$F$7:$F$96)),IF(B36="Retargeting",IF(COUNTIFS('03_Chi_tieu'!$A$7:$A$96,A36,'03_Chi_tieu'!$G$7:$G$96,"&gt;=0")=0,"",SUMIF('03_Chi_tieu'!$A$7:$A$96,A36,'03_Chi_tieu'!$G$7:$G$96)),IF(B36="Other",IF(COUNTIFS('03_Chi_tieu'!$A$7:$A$96,A36,'03_Chi_tieu'!$H$7:$H$96,"&gt;=0")=0,"",SUMIF('03_Chi_tieu'!$A$7:$A$96,A36,'03_Chi_tieu'!$H$7:$H$96)),"")))))</f>
        <v/>
      </c>
      <c r="AB36">
        <f>IF(G36="","",IF(NOT(ISNUMBER(G36)),"Chi không hợp lệ",IF(OR(NOT(ISNUMBER(A36)),B36=""),"Thiếu ngày/kênh",IF(COUNTIFS($A$5:$A$104,A36,$B$5:$B$104,B36)&gt;1,"Trùng ngày/kênh",IF(AA36="","Thiếu nguồn hoặc kênh",IF(G36=AA36,"Khớp","Lệch"))))))</f>
        <v/>
      </c>
    </row>
    <row r="37">
      <c r="A37" s="137" t="n"/>
      <c r="B37" s="112" t="n"/>
      <c r="C37" s="112" t="n"/>
      <c r="D37" s="112" t="n"/>
      <c r="E37" s="112" t="n"/>
      <c r="F37" s="112" t="n"/>
      <c r="G37" s="138" t="n"/>
      <c r="H37" s="112" t="n"/>
      <c r="I37" s="112" t="n"/>
      <c r="J37" s="112" t="n"/>
      <c r="K37" s="112" t="n"/>
      <c r="L37" s="112" t="n"/>
      <c r="M37" s="112" t="n"/>
      <c r="N37" s="139">
        <f>IF(OR(NOT(ISNUMBER(E37)),E37&lt;=0,NOT(ISNUMBER(F37))),"",F37/E37)</f>
        <v/>
      </c>
      <c r="O37" s="139">
        <f>IF(OR(NOT(ISNUMBER(H37)),H37&lt;=0,NOT(ISNUMBER(I37))),"",I37/H37)</f>
        <v/>
      </c>
      <c r="P37" s="139">
        <f>IF(OR(NOT(ISNUMBER(K37)),K37&lt;=0,NOT(ISNUMBER(J37))),"",J37/K37)</f>
        <v/>
      </c>
      <c r="Q37" s="139">
        <f>IF(OR(NOT(ISNUMBER(M37)),M37&lt;=0,NOT(ISNUMBER(L37))),"",L37/M37)</f>
        <v/>
      </c>
      <c r="R37" s="140">
        <f>IF(OR(NOT(ISNUMBER(I37)),I37&lt;=0,NOT(ISNUMBER(G37))),"",G37/I37)</f>
        <v/>
      </c>
      <c r="S37" s="112" t="n"/>
      <c r="T37" s="112" t="n"/>
      <c r="U37" s="112" t="n"/>
      <c r="V37" s="140">
        <f>IF(OR(NOT(ISNUMBER(E37)),E37&lt;=0,NOT(ISNUMBER(G37))),"",1000*G37/E37)</f>
        <v/>
      </c>
      <c r="W37" s="140">
        <f>IF(OR(NOT(ISNUMBER(F37)),F37&lt;=0,NOT(ISNUMBER(G37))),"",G37/F37)</f>
        <v/>
      </c>
      <c r="X37" s="112" t="n"/>
      <c r="Y37" s="112" t="n"/>
      <c r="Z37" s="139">
        <f>IF(OR(NOT(ISNUMBER(X37)),X37&lt;=0,NOT(ISNUMBER(Y37))),"",Y37/X37)</f>
        <v/>
      </c>
      <c r="AA37" s="140">
        <f>IF(OR(NOT(ISNUMBER(A37)),B37=""),"",IF(B37="LinkedIn",IF(COUNTIFS('03_Chi_tieu'!$A$7:$A$96,A37,'03_Chi_tieu'!$E$7:$E$96,"&gt;=0")=0,"",SUMIF('03_Chi_tieu'!$A$7:$A$96,A37,'03_Chi_tieu'!$E$7:$E$96)),IF(B37="Search",IF(COUNTIFS('03_Chi_tieu'!$A$7:$A$96,A37,'03_Chi_tieu'!$F$7:$F$96,"&gt;=0")=0,"",SUMIF('03_Chi_tieu'!$A$7:$A$96,A37,'03_Chi_tieu'!$F$7:$F$96)),IF(B37="Retargeting",IF(COUNTIFS('03_Chi_tieu'!$A$7:$A$96,A37,'03_Chi_tieu'!$G$7:$G$96,"&gt;=0")=0,"",SUMIF('03_Chi_tieu'!$A$7:$A$96,A37,'03_Chi_tieu'!$G$7:$G$96)),IF(B37="Other",IF(COUNTIFS('03_Chi_tieu'!$A$7:$A$96,A37,'03_Chi_tieu'!$H$7:$H$96,"&gt;=0")=0,"",SUMIF('03_Chi_tieu'!$A$7:$A$96,A37,'03_Chi_tieu'!$H$7:$H$96)),"")))))</f>
        <v/>
      </c>
      <c r="AB37">
        <f>IF(G37="","",IF(NOT(ISNUMBER(G37)),"Chi không hợp lệ",IF(OR(NOT(ISNUMBER(A37)),B37=""),"Thiếu ngày/kênh",IF(COUNTIFS($A$5:$A$104,A37,$B$5:$B$104,B37)&gt;1,"Trùng ngày/kênh",IF(AA37="","Thiếu nguồn hoặc kênh",IF(G37=AA37,"Khớp","Lệch"))))))</f>
        <v/>
      </c>
    </row>
    <row r="38">
      <c r="A38" s="137" t="n"/>
      <c r="B38" s="112" t="n"/>
      <c r="C38" s="112" t="n"/>
      <c r="D38" s="112" t="n"/>
      <c r="E38" s="112" t="n"/>
      <c r="F38" s="112" t="n"/>
      <c r="G38" s="138" t="n"/>
      <c r="H38" s="112" t="n"/>
      <c r="I38" s="112" t="n"/>
      <c r="J38" s="112" t="n"/>
      <c r="K38" s="112" t="n"/>
      <c r="L38" s="112" t="n"/>
      <c r="M38" s="112" t="n"/>
      <c r="N38" s="139">
        <f>IF(OR(NOT(ISNUMBER(E38)),E38&lt;=0,NOT(ISNUMBER(F38))),"",F38/E38)</f>
        <v/>
      </c>
      <c r="O38" s="139">
        <f>IF(OR(NOT(ISNUMBER(H38)),H38&lt;=0,NOT(ISNUMBER(I38))),"",I38/H38)</f>
        <v/>
      </c>
      <c r="P38" s="139">
        <f>IF(OR(NOT(ISNUMBER(K38)),K38&lt;=0,NOT(ISNUMBER(J38))),"",J38/K38)</f>
        <v/>
      </c>
      <c r="Q38" s="139">
        <f>IF(OR(NOT(ISNUMBER(M38)),M38&lt;=0,NOT(ISNUMBER(L38))),"",L38/M38)</f>
        <v/>
      </c>
      <c r="R38" s="140">
        <f>IF(OR(NOT(ISNUMBER(I38)),I38&lt;=0,NOT(ISNUMBER(G38))),"",G38/I38)</f>
        <v/>
      </c>
      <c r="S38" s="112" t="n"/>
      <c r="T38" s="112" t="n"/>
      <c r="U38" s="112" t="n"/>
      <c r="V38" s="140">
        <f>IF(OR(NOT(ISNUMBER(E38)),E38&lt;=0,NOT(ISNUMBER(G38))),"",1000*G38/E38)</f>
        <v/>
      </c>
      <c r="W38" s="140">
        <f>IF(OR(NOT(ISNUMBER(F38)),F38&lt;=0,NOT(ISNUMBER(G38))),"",G38/F38)</f>
        <v/>
      </c>
      <c r="X38" s="112" t="n"/>
      <c r="Y38" s="112" t="n"/>
      <c r="Z38" s="139">
        <f>IF(OR(NOT(ISNUMBER(X38)),X38&lt;=0,NOT(ISNUMBER(Y38))),"",Y38/X38)</f>
        <v/>
      </c>
      <c r="AA38" s="140">
        <f>IF(OR(NOT(ISNUMBER(A38)),B38=""),"",IF(B38="LinkedIn",IF(COUNTIFS('03_Chi_tieu'!$A$7:$A$96,A38,'03_Chi_tieu'!$E$7:$E$96,"&gt;=0")=0,"",SUMIF('03_Chi_tieu'!$A$7:$A$96,A38,'03_Chi_tieu'!$E$7:$E$96)),IF(B38="Search",IF(COUNTIFS('03_Chi_tieu'!$A$7:$A$96,A38,'03_Chi_tieu'!$F$7:$F$96,"&gt;=0")=0,"",SUMIF('03_Chi_tieu'!$A$7:$A$96,A38,'03_Chi_tieu'!$F$7:$F$96)),IF(B38="Retargeting",IF(COUNTIFS('03_Chi_tieu'!$A$7:$A$96,A38,'03_Chi_tieu'!$G$7:$G$96,"&gt;=0")=0,"",SUMIF('03_Chi_tieu'!$A$7:$A$96,A38,'03_Chi_tieu'!$G$7:$G$96)),IF(B38="Other",IF(COUNTIFS('03_Chi_tieu'!$A$7:$A$96,A38,'03_Chi_tieu'!$H$7:$H$96,"&gt;=0")=0,"",SUMIF('03_Chi_tieu'!$A$7:$A$96,A38,'03_Chi_tieu'!$H$7:$H$96)),"")))))</f>
        <v/>
      </c>
      <c r="AB38">
        <f>IF(G38="","",IF(NOT(ISNUMBER(G38)),"Chi không hợp lệ",IF(OR(NOT(ISNUMBER(A38)),B38=""),"Thiếu ngày/kênh",IF(COUNTIFS($A$5:$A$104,A38,$B$5:$B$104,B38)&gt;1,"Trùng ngày/kênh",IF(AA38="","Thiếu nguồn hoặc kênh",IF(G38=AA38,"Khớp","Lệch"))))))</f>
        <v/>
      </c>
    </row>
    <row r="39">
      <c r="A39" s="137" t="n"/>
      <c r="B39" s="112" t="n"/>
      <c r="C39" s="112" t="n"/>
      <c r="D39" s="112" t="n"/>
      <c r="E39" s="112" t="n"/>
      <c r="F39" s="112" t="n"/>
      <c r="G39" s="138" t="n"/>
      <c r="H39" s="112" t="n"/>
      <c r="I39" s="112" t="n"/>
      <c r="J39" s="112" t="n"/>
      <c r="K39" s="112" t="n"/>
      <c r="L39" s="112" t="n"/>
      <c r="M39" s="112" t="n"/>
      <c r="N39" s="139">
        <f>IF(OR(NOT(ISNUMBER(E39)),E39&lt;=0,NOT(ISNUMBER(F39))),"",F39/E39)</f>
        <v/>
      </c>
      <c r="O39" s="139">
        <f>IF(OR(NOT(ISNUMBER(H39)),H39&lt;=0,NOT(ISNUMBER(I39))),"",I39/H39)</f>
        <v/>
      </c>
      <c r="P39" s="139">
        <f>IF(OR(NOT(ISNUMBER(K39)),K39&lt;=0,NOT(ISNUMBER(J39))),"",J39/K39)</f>
        <v/>
      </c>
      <c r="Q39" s="139">
        <f>IF(OR(NOT(ISNUMBER(M39)),M39&lt;=0,NOT(ISNUMBER(L39))),"",L39/M39)</f>
        <v/>
      </c>
      <c r="R39" s="140">
        <f>IF(OR(NOT(ISNUMBER(I39)),I39&lt;=0,NOT(ISNUMBER(G39))),"",G39/I39)</f>
        <v/>
      </c>
      <c r="S39" s="112" t="n"/>
      <c r="T39" s="112" t="n"/>
      <c r="U39" s="112" t="n"/>
      <c r="V39" s="140">
        <f>IF(OR(NOT(ISNUMBER(E39)),E39&lt;=0,NOT(ISNUMBER(G39))),"",1000*G39/E39)</f>
        <v/>
      </c>
      <c r="W39" s="140">
        <f>IF(OR(NOT(ISNUMBER(F39)),F39&lt;=0,NOT(ISNUMBER(G39))),"",G39/F39)</f>
        <v/>
      </c>
      <c r="X39" s="112" t="n"/>
      <c r="Y39" s="112" t="n"/>
      <c r="Z39" s="139">
        <f>IF(OR(NOT(ISNUMBER(X39)),X39&lt;=0,NOT(ISNUMBER(Y39))),"",Y39/X39)</f>
        <v/>
      </c>
      <c r="AA39" s="140">
        <f>IF(OR(NOT(ISNUMBER(A39)),B39=""),"",IF(B39="LinkedIn",IF(COUNTIFS('03_Chi_tieu'!$A$7:$A$96,A39,'03_Chi_tieu'!$E$7:$E$96,"&gt;=0")=0,"",SUMIF('03_Chi_tieu'!$A$7:$A$96,A39,'03_Chi_tieu'!$E$7:$E$96)),IF(B39="Search",IF(COUNTIFS('03_Chi_tieu'!$A$7:$A$96,A39,'03_Chi_tieu'!$F$7:$F$96,"&gt;=0")=0,"",SUMIF('03_Chi_tieu'!$A$7:$A$96,A39,'03_Chi_tieu'!$F$7:$F$96)),IF(B39="Retargeting",IF(COUNTIFS('03_Chi_tieu'!$A$7:$A$96,A39,'03_Chi_tieu'!$G$7:$G$96,"&gt;=0")=0,"",SUMIF('03_Chi_tieu'!$A$7:$A$96,A39,'03_Chi_tieu'!$G$7:$G$96)),IF(B39="Other",IF(COUNTIFS('03_Chi_tieu'!$A$7:$A$96,A39,'03_Chi_tieu'!$H$7:$H$96,"&gt;=0")=0,"",SUMIF('03_Chi_tieu'!$A$7:$A$96,A39,'03_Chi_tieu'!$H$7:$H$96)),"")))))</f>
        <v/>
      </c>
      <c r="AB39">
        <f>IF(G39="","",IF(NOT(ISNUMBER(G39)),"Chi không hợp lệ",IF(OR(NOT(ISNUMBER(A39)),B39=""),"Thiếu ngày/kênh",IF(COUNTIFS($A$5:$A$104,A39,$B$5:$B$104,B39)&gt;1,"Trùng ngày/kênh",IF(AA39="","Thiếu nguồn hoặc kênh",IF(G39=AA39,"Khớp","Lệch"))))))</f>
        <v/>
      </c>
    </row>
    <row r="40">
      <c r="A40" s="137" t="n"/>
      <c r="B40" s="112" t="n"/>
      <c r="C40" s="112" t="n"/>
      <c r="D40" s="112" t="n"/>
      <c r="E40" s="112" t="n"/>
      <c r="F40" s="112" t="n"/>
      <c r="G40" s="138" t="n"/>
      <c r="H40" s="112" t="n"/>
      <c r="I40" s="112" t="n"/>
      <c r="J40" s="112" t="n"/>
      <c r="K40" s="112" t="n"/>
      <c r="L40" s="112" t="n"/>
      <c r="M40" s="112" t="n"/>
      <c r="N40" s="139">
        <f>IF(OR(NOT(ISNUMBER(E40)),E40&lt;=0,NOT(ISNUMBER(F40))),"",F40/E40)</f>
        <v/>
      </c>
      <c r="O40" s="139">
        <f>IF(OR(NOT(ISNUMBER(H40)),H40&lt;=0,NOT(ISNUMBER(I40))),"",I40/H40)</f>
        <v/>
      </c>
      <c r="P40" s="139">
        <f>IF(OR(NOT(ISNUMBER(K40)),K40&lt;=0,NOT(ISNUMBER(J40))),"",J40/K40)</f>
        <v/>
      </c>
      <c r="Q40" s="139">
        <f>IF(OR(NOT(ISNUMBER(M40)),M40&lt;=0,NOT(ISNUMBER(L40))),"",L40/M40)</f>
        <v/>
      </c>
      <c r="R40" s="140">
        <f>IF(OR(NOT(ISNUMBER(I40)),I40&lt;=0,NOT(ISNUMBER(G40))),"",G40/I40)</f>
        <v/>
      </c>
      <c r="S40" s="112" t="n"/>
      <c r="T40" s="112" t="n"/>
      <c r="U40" s="112" t="n"/>
      <c r="V40" s="140">
        <f>IF(OR(NOT(ISNUMBER(E40)),E40&lt;=0,NOT(ISNUMBER(G40))),"",1000*G40/E40)</f>
        <v/>
      </c>
      <c r="W40" s="140">
        <f>IF(OR(NOT(ISNUMBER(F40)),F40&lt;=0,NOT(ISNUMBER(G40))),"",G40/F40)</f>
        <v/>
      </c>
      <c r="X40" s="112" t="n"/>
      <c r="Y40" s="112" t="n"/>
      <c r="Z40" s="139">
        <f>IF(OR(NOT(ISNUMBER(X40)),X40&lt;=0,NOT(ISNUMBER(Y40))),"",Y40/X40)</f>
        <v/>
      </c>
      <c r="AA40" s="140">
        <f>IF(OR(NOT(ISNUMBER(A40)),B40=""),"",IF(B40="LinkedIn",IF(COUNTIFS('03_Chi_tieu'!$A$7:$A$96,A40,'03_Chi_tieu'!$E$7:$E$96,"&gt;=0")=0,"",SUMIF('03_Chi_tieu'!$A$7:$A$96,A40,'03_Chi_tieu'!$E$7:$E$96)),IF(B40="Search",IF(COUNTIFS('03_Chi_tieu'!$A$7:$A$96,A40,'03_Chi_tieu'!$F$7:$F$96,"&gt;=0")=0,"",SUMIF('03_Chi_tieu'!$A$7:$A$96,A40,'03_Chi_tieu'!$F$7:$F$96)),IF(B40="Retargeting",IF(COUNTIFS('03_Chi_tieu'!$A$7:$A$96,A40,'03_Chi_tieu'!$G$7:$G$96,"&gt;=0")=0,"",SUMIF('03_Chi_tieu'!$A$7:$A$96,A40,'03_Chi_tieu'!$G$7:$G$96)),IF(B40="Other",IF(COUNTIFS('03_Chi_tieu'!$A$7:$A$96,A40,'03_Chi_tieu'!$H$7:$H$96,"&gt;=0")=0,"",SUMIF('03_Chi_tieu'!$A$7:$A$96,A40,'03_Chi_tieu'!$H$7:$H$96)),"")))))</f>
        <v/>
      </c>
      <c r="AB40">
        <f>IF(G40="","",IF(NOT(ISNUMBER(G40)),"Chi không hợp lệ",IF(OR(NOT(ISNUMBER(A40)),B40=""),"Thiếu ngày/kênh",IF(COUNTIFS($A$5:$A$104,A40,$B$5:$B$104,B40)&gt;1,"Trùng ngày/kênh",IF(AA40="","Thiếu nguồn hoặc kênh",IF(G40=AA40,"Khớp","Lệch"))))))</f>
        <v/>
      </c>
    </row>
    <row r="41">
      <c r="A41" s="137" t="n"/>
      <c r="B41" s="112" t="n"/>
      <c r="C41" s="112" t="n"/>
      <c r="D41" s="112" t="n"/>
      <c r="E41" s="112" t="n"/>
      <c r="F41" s="112" t="n"/>
      <c r="G41" s="138" t="n"/>
      <c r="H41" s="112" t="n"/>
      <c r="I41" s="112" t="n"/>
      <c r="J41" s="112" t="n"/>
      <c r="K41" s="112" t="n"/>
      <c r="L41" s="112" t="n"/>
      <c r="M41" s="112" t="n"/>
      <c r="N41" s="139">
        <f>IF(OR(NOT(ISNUMBER(E41)),E41&lt;=0,NOT(ISNUMBER(F41))),"",F41/E41)</f>
        <v/>
      </c>
      <c r="O41" s="139">
        <f>IF(OR(NOT(ISNUMBER(H41)),H41&lt;=0,NOT(ISNUMBER(I41))),"",I41/H41)</f>
        <v/>
      </c>
      <c r="P41" s="139">
        <f>IF(OR(NOT(ISNUMBER(K41)),K41&lt;=0,NOT(ISNUMBER(J41))),"",J41/K41)</f>
        <v/>
      </c>
      <c r="Q41" s="139">
        <f>IF(OR(NOT(ISNUMBER(M41)),M41&lt;=0,NOT(ISNUMBER(L41))),"",L41/M41)</f>
        <v/>
      </c>
      <c r="R41" s="140">
        <f>IF(OR(NOT(ISNUMBER(I41)),I41&lt;=0,NOT(ISNUMBER(G41))),"",G41/I41)</f>
        <v/>
      </c>
      <c r="S41" s="112" t="n"/>
      <c r="T41" s="112" t="n"/>
      <c r="U41" s="112" t="n"/>
      <c r="V41" s="140">
        <f>IF(OR(NOT(ISNUMBER(E41)),E41&lt;=0,NOT(ISNUMBER(G41))),"",1000*G41/E41)</f>
        <v/>
      </c>
      <c r="W41" s="140">
        <f>IF(OR(NOT(ISNUMBER(F41)),F41&lt;=0,NOT(ISNUMBER(G41))),"",G41/F41)</f>
        <v/>
      </c>
      <c r="X41" s="112" t="n"/>
      <c r="Y41" s="112" t="n"/>
      <c r="Z41" s="139">
        <f>IF(OR(NOT(ISNUMBER(X41)),X41&lt;=0,NOT(ISNUMBER(Y41))),"",Y41/X41)</f>
        <v/>
      </c>
      <c r="AA41" s="140">
        <f>IF(OR(NOT(ISNUMBER(A41)),B41=""),"",IF(B41="LinkedIn",IF(COUNTIFS('03_Chi_tieu'!$A$7:$A$96,A41,'03_Chi_tieu'!$E$7:$E$96,"&gt;=0")=0,"",SUMIF('03_Chi_tieu'!$A$7:$A$96,A41,'03_Chi_tieu'!$E$7:$E$96)),IF(B41="Search",IF(COUNTIFS('03_Chi_tieu'!$A$7:$A$96,A41,'03_Chi_tieu'!$F$7:$F$96,"&gt;=0")=0,"",SUMIF('03_Chi_tieu'!$A$7:$A$96,A41,'03_Chi_tieu'!$F$7:$F$96)),IF(B41="Retargeting",IF(COUNTIFS('03_Chi_tieu'!$A$7:$A$96,A41,'03_Chi_tieu'!$G$7:$G$96,"&gt;=0")=0,"",SUMIF('03_Chi_tieu'!$A$7:$A$96,A41,'03_Chi_tieu'!$G$7:$G$96)),IF(B41="Other",IF(COUNTIFS('03_Chi_tieu'!$A$7:$A$96,A41,'03_Chi_tieu'!$H$7:$H$96,"&gt;=0")=0,"",SUMIF('03_Chi_tieu'!$A$7:$A$96,A41,'03_Chi_tieu'!$H$7:$H$96)),"")))))</f>
        <v/>
      </c>
      <c r="AB41">
        <f>IF(G41="","",IF(NOT(ISNUMBER(G41)),"Chi không hợp lệ",IF(OR(NOT(ISNUMBER(A41)),B41=""),"Thiếu ngày/kênh",IF(COUNTIFS($A$5:$A$104,A41,$B$5:$B$104,B41)&gt;1,"Trùng ngày/kênh",IF(AA41="","Thiếu nguồn hoặc kênh",IF(G41=AA41,"Khớp","Lệch"))))))</f>
        <v/>
      </c>
    </row>
    <row r="42">
      <c r="A42" s="137" t="n"/>
      <c r="B42" s="112" t="n"/>
      <c r="C42" s="112" t="n"/>
      <c r="D42" s="112" t="n"/>
      <c r="E42" s="112" t="n"/>
      <c r="F42" s="112" t="n"/>
      <c r="G42" s="138" t="n"/>
      <c r="H42" s="112" t="n"/>
      <c r="I42" s="112" t="n"/>
      <c r="J42" s="112" t="n"/>
      <c r="K42" s="112" t="n"/>
      <c r="L42" s="112" t="n"/>
      <c r="M42" s="112" t="n"/>
      <c r="N42" s="139">
        <f>IF(OR(NOT(ISNUMBER(E42)),E42&lt;=0,NOT(ISNUMBER(F42))),"",F42/E42)</f>
        <v/>
      </c>
      <c r="O42" s="139">
        <f>IF(OR(NOT(ISNUMBER(H42)),H42&lt;=0,NOT(ISNUMBER(I42))),"",I42/H42)</f>
        <v/>
      </c>
      <c r="P42" s="139">
        <f>IF(OR(NOT(ISNUMBER(K42)),K42&lt;=0,NOT(ISNUMBER(J42))),"",J42/K42)</f>
        <v/>
      </c>
      <c r="Q42" s="139">
        <f>IF(OR(NOT(ISNUMBER(M42)),M42&lt;=0,NOT(ISNUMBER(L42))),"",L42/M42)</f>
        <v/>
      </c>
      <c r="R42" s="140">
        <f>IF(OR(NOT(ISNUMBER(I42)),I42&lt;=0,NOT(ISNUMBER(G42))),"",G42/I42)</f>
        <v/>
      </c>
      <c r="S42" s="112" t="n"/>
      <c r="T42" s="112" t="n"/>
      <c r="U42" s="112" t="n"/>
      <c r="V42" s="140">
        <f>IF(OR(NOT(ISNUMBER(E42)),E42&lt;=0,NOT(ISNUMBER(G42))),"",1000*G42/E42)</f>
        <v/>
      </c>
      <c r="W42" s="140">
        <f>IF(OR(NOT(ISNUMBER(F42)),F42&lt;=0,NOT(ISNUMBER(G42))),"",G42/F42)</f>
        <v/>
      </c>
      <c r="X42" s="112" t="n"/>
      <c r="Y42" s="112" t="n"/>
      <c r="Z42" s="139">
        <f>IF(OR(NOT(ISNUMBER(X42)),X42&lt;=0,NOT(ISNUMBER(Y42))),"",Y42/X42)</f>
        <v/>
      </c>
      <c r="AA42" s="140">
        <f>IF(OR(NOT(ISNUMBER(A42)),B42=""),"",IF(B42="LinkedIn",IF(COUNTIFS('03_Chi_tieu'!$A$7:$A$96,A42,'03_Chi_tieu'!$E$7:$E$96,"&gt;=0")=0,"",SUMIF('03_Chi_tieu'!$A$7:$A$96,A42,'03_Chi_tieu'!$E$7:$E$96)),IF(B42="Search",IF(COUNTIFS('03_Chi_tieu'!$A$7:$A$96,A42,'03_Chi_tieu'!$F$7:$F$96,"&gt;=0")=0,"",SUMIF('03_Chi_tieu'!$A$7:$A$96,A42,'03_Chi_tieu'!$F$7:$F$96)),IF(B42="Retargeting",IF(COUNTIFS('03_Chi_tieu'!$A$7:$A$96,A42,'03_Chi_tieu'!$G$7:$G$96,"&gt;=0")=0,"",SUMIF('03_Chi_tieu'!$A$7:$A$96,A42,'03_Chi_tieu'!$G$7:$G$96)),IF(B42="Other",IF(COUNTIFS('03_Chi_tieu'!$A$7:$A$96,A42,'03_Chi_tieu'!$H$7:$H$96,"&gt;=0")=0,"",SUMIF('03_Chi_tieu'!$A$7:$A$96,A42,'03_Chi_tieu'!$H$7:$H$96)),"")))))</f>
        <v/>
      </c>
      <c r="AB42">
        <f>IF(G42="","",IF(NOT(ISNUMBER(G42)),"Chi không hợp lệ",IF(OR(NOT(ISNUMBER(A42)),B42=""),"Thiếu ngày/kênh",IF(COUNTIFS($A$5:$A$104,A42,$B$5:$B$104,B42)&gt;1,"Trùng ngày/kênh",IF(AA42="","Thiếu nguồn hoặc kênh",IF(G42=AA42,"Khớp","Lệch"))))))</f>
        <v/>
      </c>
    </row>
    <row r="43">
      <c r="A43" s="137" t="n"/>
      <c r="B43" s="112" t="n"/>
      <c r="C43" s="112" t="n"/>
      <c r="D43" s="112" t="n"/>
      <c r="E43" s="112" t="n"/>
      <c r="F43" s="112" t="n"/>
      <c r="G43" s="138" t="n"/>
      <c r="H43" s="112" t="n"/>
      <c r="I43" s="112" t="n"/>
      <c r="J43" s="112" t="n"/>
      <c r="K43" s="112" t="n"/>
      <c r="L43" s="112" t="n"/>
      <c r="M43" s="112" t="n"/>
      <c r="N43" s="139">
        <f>IF(OR(NOT(ISNUMBER(E43)),E43&lt;=0,NOT(ISNUMBER(F43))),"",F43/E43)</f>
        <v/>
      </c>
      <c r="O43" s="139">
        <f>IF(OR(NOT(ISNUMBER(H43)),H43&lt;=0,NOT(ISNUMBER(I43))),"",I43/H43)</f>
        <v/>
      </c>
      <c r="P43" s="139">
        <f>IF(OR(NOT(ISNUMBER(K43)),K43&lt;=0,NOT(ISNUMBER(J43))),"",J43/K43)</f>
        <v/>
      </c>
      <c r="Q43" s="139">
        <f>IF(OR(NOT(ISNUMBER(M43)),M43&lt;=0,NOT(ISNUMBER(L43))),"",L43/M43)</f>
        <v/>
      </c>
      <c r="R43" s="140">
        <f>IF(OR(NOT(ISNUMBER(I43)),I43&lt;=0,NOT(ISNUMBER(G43))),"",G43/I43)</f>
        <v/>
      </c>
      <c r="S43" s="112" t="n"/>
      <c r="T43" s="112" t="n"/>
      <c r="U43" s="112" t="n"/>
      <c r="V43" s="140">
        <f>IF(OR(NOT(ISNUMBER(E43)),E43&lt;=0,NOT(ISNUMBER(G43))),"",1000*G43/E43)</f>
        <v/>
      </c>
      <c r="W43" s="140">
        <f>IF(OR(NOT(ISNUMBER(F43)),F43&lt;=0,NOT(ISNUMBER(G43))),"",G43/F43)</f>
        <v/>
      </c>
      <c r="X43" s="112" t="n"/>
      <c r="Y43" s="112" t="n"/>
      <c r="Z43" s="139">
        <f>IF(OR(NOT(ISNUMBER(X43)),X43&lt;=0,NOT(ISNUMBER(Y43))),"",Y43/X43)</f>
        <v/>
      </c>
      <c r="AA43" s="140">
        <f>IF(OR(NOT(ISNUMBER(A43)),B43=""),"",IF(B43="LinkedIn",IF(COUNTIFS('03_Chi_tieu'!$A$7:$A$96,A43,'03_Chi_tieu'!$E$7:$E$96,"&gt;=0")=0,"",SUMIF('03_Chi_tieu'!$A$7:$A$96,A43,'03_Chi_tieu'!$E$7:$E$96)),IF(B43="Search",IF(COUNTIFS('03_Chi_tieu'!$A$7:$A$96,A43,'03_Chi_tieu'!$F$7:$F$96,"&gt;=0")=0,"",SUMIF('03_Chi_tieu'!$A$7:$A$96,A43,'03_Chi_tieu'!$F$7:$F$96)),IF(B43="Retargeting",IF(COUNTIFS('03_Chi_tieu'!$A$7:$A$96,A43,'03_Chi_tieu'!$G$7:$G$96,"&gt;=0")=0,"",SUMIF('03_Chi_tieu'!$A$7:$A$96,A43,'03_Chi_tieu'!$G$7:$G$96)),IF(B43="Other",IF(COUNTIFS('03_Chi_tieu'!$A$7:$A$96,A43,'03_Chi_tieu'!$H$7:$H$96,"&gt;=0")=0,"",SUMIF('03_Chi_tieu'!$A$7:$A$96,A43,'03_Chi_tieu'!$H$7:$H$96)),"")))))</f>
        <v/>
      </c>
      <c r="AB43">
        <f>IF(G43="","",IF(NOT(ISNUMBER(G43)),"Chi không hợp lệ",IF(OR(NOT(ISNUMBER(A43)),B43=""),"Thiếu ngày/kênh",IF(COUNTIFS($A$5:$A$104,A43,$B$5:$B$104,B43)&gt;1,"Trùng ngày/kênh",IF(AA43="","Thiếu nguồn hoặc kênh",IF(G43=AA43,"Khớp","Lệch"))))))</f>
        <v/>
      </c>
    </row>
    <row r="44">
      <c r="A44" s="137" t="n"/>
      <c r="B44" s="112" t="n"/>
      <c r="C44" s="112" t="n"/>
      <c r="D44" s="112" t="n"/>
      <c r="E44" s="112" t="n"/>
      <c r="F44" s="112" t="n"/>
      <c r="G44" s="138" t="n"/>
      <c r="H44" s="112" t="n"/>
      <c r="I44" s="112" t="n"/>
      <c r="J44" s="112" t="n"/>
      <c r="K44" s="112" t="n"/>
      <c r="L44" s="112" t="n"/>
      <c r="M44" s="112" t="n"/>
      <c r="N44" s="139">
        <f>IF(OR(NOT(ISNUMBER(E44)),E44&lt;=0,NOT(ISNUMBER(F44))),"",F44/E44)</f>
        <v/>
      </c>
      <c r="O44" s="139">
        <f>IF(OR(NOT(ISNUMBER(H44)),H44&lt;=0,NOT(ISNUMBER(I44))),"",I44/H44)</f>
        <v/>
      </c>
      <c r="P44" s="139">
        <f>IF(OR(NOT(ISNUMBER(K44)),K44&lt;=0,NOT(ISNUMBER(J44))),"",J44/K44)</f>
        <v/>
      </c>
      <c r="Q44" s="139">
        <f>IF(OR(NOT(ISNUMBER(M44)),M44&lt;=0,NOT(ISNUMBER(L44))),"",L44/M44)</f>
        <v/>
      </c>
      <c r="R44" s="140">
        <f>IF(OR(NOT(ISNUMBER(I44)),I44&lt;=0,NOT(ISNUMBER(G44))),"",G44/I44)</f>
        <v/>
      </c>
      <c r="S44" s="112" t="n"/>
      <c r="T44" s="112" t="n"/>
      <c r="U44" s="112" t="n"/>
      <c r="V44" s="140">
        <f>IF(OR(NOT(ISNUMBER(E44)),E44&lt;=0,NOT(ISNUMBER(G44))),"",1000*G44/E44)</f>
        <v/>
      </c>
      <c r="W44" s="140">
        <f>IF(OR(NOT(ISNUMBER(F44)),F44&lt;=0,NOT(ISNUMBER(G44))),"",G44/F44)</f>
        <v/>
      </c>
      <c r="X44" s="112" t="n"/>
      <c r="Y44" s="112" t="n"/>
      <c r="Z44" s="139">
        <f>IF(OR(NOT(ISNUMBER(X44)),X44&lt;=0,NOT(ISNUMBER(Y44))),"",Y44/X44)</f>
        <v/>
      </c>
      <c r="AA44" s="140">
        <f>IF(OR(NOT(ISNUMBER(A44)),B44=""),"",IF(B44="LinkedIn",IF(COUNTIFS('03_Chi_tieu'!$A$7:$A$96,A44,'03_Chi_tieu'!$E$7:$E$96,"&gt;=0")=0,"",SUMIF('03_Chi_tieu'!$A$7:$A$96,A44,'03_Chi_tieu'!$E$7:$E$96)),IF(B44="Search",IF(COUNTIFS('03_Chi_tieu'!$A$7:$A$96,A44,'03_Chi_tieu'!$F$7:$F$96,"&gt;=0")=0,"",SUMIF('03_Chi_tieu'!$A$7:$A$96,A44,'03_Chi_tieu'!$F$7:$F$96)),IF(B44="Retargeting",IF(COUNTIFS('03_Chi_tieu'!$A$7:$A$96,A44,'03_Chi_tieu'!$G$7:$G$96,"&gt;=0")=0,"",SUMIF('03_Chi_tieu'!$A$7:$A$96,A44,'03_Chi_tieu'!$G$7:$G$96)),IF(B44="Other",IF(COUNTIFS('03_Chi_tieu'!$A$7:$A$96,A44,'03_Chi_tieu'!$H$7:$H$96,"&gt;=0")=0,"",SUMIF('03_Chi_tieu'!$A$7:$A$96,A44,'03_Chi_tieu'!$H$7:$H$96)),"")))))</f>
        <v/>
      </c>
      <c r="AB44">
        <f>IF(G44="","",IF(NOT(ISNUMBER(G44)),"Chi không hợp lệ",IF(OR(NOT(ISNUMBER(A44)),B44=""),"Thiếu ngày/kênh",IF(COUNTIFS($A$5:$A$104,A44,$B$5:$B$104,B44)&gt;1,"Trùng ngày/kênh",IF(AA44="","Thiếu nguồn hoặc kênh",IF(G44=AA44,"Khớp","Lệch"))))))</f>
        <v/>
      </c>
    </row>
    <row r="45">
      <c r="A45" s="137" t="n"/>
      <c r="B45" s="112" t="n"/>
      <c r="C45" s="112" t="n"/>
      <c r="D45" s="112" t="n"/>
      <c r="E45" s="112" t="n"/>
      <c r="F45" s="112" t="n"/>
      <c r="G45" s="138" t="n"/>
      <c r="H45" s="112" t="n"/>
      <c r="I45" s="112" t="n"/>
      <c r="J45" s="112" t="n"/>
      <c r="K45" s="112" t="n"/>
      <c r="L45" s="112" t="n"/>
      <c r="M45" s="112" t="n"/>
      <c r="N45" s="139">
        <f>IF(OR(NOT(ISNUMBER(E45)),E45&lt;=0,NOT(ISNUMBER(F45))),"",F45/E45)</f>
        <v/>
      </c>
      <c r="O45" s="139">
        <f>IF(OR(NOT(ISNUMBER(H45)),H45&lt;=0,NOT(ISNUMBER(I45))),"",I45/H45)</f>
        <v/>
      </c>
      <c r="P45" s="139">
        <f>IF(OR(NOT(ISNUMBER(K45)),K45&lt;=0,NOT(ISNUMBER(J45))),"",J45/K45)</f>
        <v/>
      </c>
      <c r="Q45" s="139">
        <f>IF(OR(NOT(ISNUMBER(M45)),M45&lt;=0,NOT(ISNUMBER(L45))),"",L45/M45)</f>
        <v/>
      </c>
      <c r="R45" s="140">
        <f>IF(OR(NOT(ISNUMBER(I45)),I45&lt;=0,NOT(ISNUMBER(G45))),"",G45/I45)</f>
        <v/>
      </c>
      <c r="S45" s="112" t="n"/>
      <c r="T45" s="112" t="n"/>
      <c r="U45" s="112" t="n"/>
      <c r="V45" s="140">
        <f>IF(OR(NOT(ISNUMBER(E45)),E45&lt;=0,NOT(ISNUMBER(G45))),"",1000*G45/E45)</f>
        <v/>
      </c>
      <c r="W45" s="140">
        <f>IF(OR(NOT(ISNUMBER(F45)),F45&lt;=0,NOT(ISNUMBER(G45))),"",G45/F45)</f>
        <v/>
      </c>
      <c r="X45" s="112" t="n"/>
      <c r="Y45" s="112" t="n"/>
      <c r="Z45" s="139">
        <f>IF(OR(NOT(ISNUMBER(X45)),X45&lt;=0,NOT(ISNUMBER(Y45))),"",Y45/X45)</f>
        <v/>
      </c>
      <c r="AA45" s="140">
        <f>IF(OR(NOT(ISNUMBER(A45)),B45=""),"",IF(B45="LinkedIn",IF(COUNTIFS('03_Chi_tieu'!$A$7:$A$96,A45,'03_Chi_tieu'!$E$7:$E$96,"&gt;=0")=0,"",SUMIF('03_Chi_tieu'!$A$7:$A$96,A45,'03_Chi_tieu'!$E$7:$E$96)),IF(B45="Search",IF(COUNTIFS('03_Chi_tieu'!$A$7:$A$96,A45,'03_Chi_tieu'!$F$7:$F$96,"&gt;=0")=0,"",SUMIF('03_Chi_tieu'!$A$7:$A$96,A45,'03_Chi_tieu'!$F$7:$F$96)),IF(B45="Retargeting",IF(COUNTIFS('03_Chi_tieu'!$A$7:$A$96,A45,'03_Chi_tieu'!$G$7:$G$96,"&gt;=0")=0,"",SUMIF('03_Chi_tieu'!$A$7:$A$96,A45,'03_Chi_tieu'!$G$7:$G$96)),IF(B45="Other",IF(COUNTIFS('03_Chi_tieu'!$A$7:$A$96,A45,'03_Chi_tieu'!$H$7:$H$96,"&gt;=0")=0,"",SUMIF('03_Chi_tieu'!$A$7:$A$96,A45,'03_Chi_tieu'!$H$7:$H$96)),"")))))</f>
        <v/>
      </c>
      <c r="AB45">
        <f>IF(G45="","",IF(NOT(ISNUMBER(G45)),"Chi không hợp lệ",IF(OR(NOT(ISNUMBER(A45)),B45=""),"Thiếu ngày/kênh",IF(COUNTIFS($A$5:$A$104,A45,$B$5:$B$104,B45)&gt;1,"Trùng ngày/kênh",IF(AA45="","Thiếu nguồn hoặc kênh",IF(G45=AA45,"Khớp","Lệch"))))))</f>
        <v/>
      </c>
    </row>
    <row r="46">
      <c r="A46" s="137" t="n"/>
      <c r="B46" s="112" t="n"/>
      <c r="C46" s="112" t="n"/>
      <c r="D46" s="112" t="n"/>
      <c r="E46" s="112" t="n"/>
      <c r="F46" s="112" t="n"/>
      <c r="G46" s="138" t="n"/>
      <c r="H46" s="112" t="n"/>
      <c r="I46" s="112" t="n"/>
      <c r="J46" s="112" t="n"/>
      <c r="K46" s="112" t="n"/>
      <c r="L46" s="112" t="n"/>
      <c r="M46" s="112" t="n"/>
      <c r="N46" s="139">
        <f>IF(OR(NOT(ISNUMBER(E46)),E46&lt;=0,NOT(ISNUMBER(F46))),"",F46/E46)</f>
        <v/>
      </c>
      <c r="O46" s="139">
        <f>IF(OR(NOT(ISNUMBER(H46)),H46&lt;=0,NOT(ISNUMBER(I46))),"",I46/H46)</f>
        <v/>
      </c>
      <c r="P46" s="139">
        <f>IF(OR(NOT(ISNUMBER(K46)),K46&lt;=0,NOT(ISNUMBER(J46))),"",J46/K46)</f>
        <v/>
      </c>
      <c r="Q46" s="139">
        <f>IF(OR(NOT(ISNUMBER(M46)),M46&lt;=0,NOT(ISNUMBER(L46))),"",L46/M46)</f>
        <v/>
      </c>
      <c r="R46" s="140">
        <f>IF(OR(NOT(ISNUMBER(I46)),I46&lt;=0,NOT(ISNUMBER(G46))),"",G46/I46)</f>
        <v/>
      </c>
      <c r="S46" s="112" t="n"/>
      <c r="T46" s="112" t="n"/>
      <c r="U46" s="112" t="n"/>
      <c r="V46" s="140">
        <f>IF(OR(NOT(ISNUMBER(E46)),E46&lt;=0,NOT(ISNUMBER(G46))),"",1000*G46/E46)</f>
        <v/>
      </c>
      <c r="W46" s="140">
        <f>IF(OR(NOT(ISNUMBER(F46)),F46&lt;=0,NOT(ISNUMBER(G46))),"",G46/F46)</f>
        <v/>
      </c>
      <c r="X46" s="112" t="n"/>
      <c r="Y46" s="112" t="n"/>
      <c r="Z46" s="139">
        <f>IF(OR(NOT(ISNUMBER(X46)),X46&lt;=0,NOT(ISNUMBER(Y46))),"",Y46/X46)</f>
        <v/>
      </c>
      <c r="AA46" s="140">
        <f>IF(OR(NOT(ISNUMBER(A46)),B46=""),"",IF(B46="LinkedIn",IF(COUNTIFS('03_Chi_tieu'!$A$7:$A$96,A46,'03_Chi_tieu'!$E$7:$E$96,"&gt;=0")=0,"",SUMIF('03_Chi_tieu'!$A$7:$A$96,A46,'03_Chi_tieu'!$E$7:$E$96)),IF(B46="Search",IF(COUNTIFS('03_Chi_tieu'!$A$7:$A$96,A46,'03_Chi_tieu'!$F$7:$F$96,"&gt;=0")=0,"",SUMIF('03_Chi_tieu'!$A$7:$A$96,A46,'03_Chi_tieu'!$F$7:$F$96)),IF(B46="Retargeting",IF(COUNTIFS('03_Chi_tieu'!$A$7:$A$96,A46,'03_Chi_tieu'!$G$7:$G$96,"&gt;=0")=0,"",SUMIF('03_Chi_tieu'!$A$7:$A$96,A46,'03_Chi_tieu'!$G$7:$G$96)),IF(B46="Other",IF(COUNTIFS('03_Chi_tieu'!$A$7:$A$96,A46,'03_Chi_tieu'!$H$7:$H$96,"&gt;=0")=0,"",SUMIF('03_Chi_tieu'!$A$7:$A$96,A46,'03_Chi_tieu'!$H$7:$H$96)),"")))))</f>
        <v/>
      </c>
      <c r="AB46">
        <f>IF(G46="","",IF(NOT(ISNUMBER(G46)),"Chi không hợp lệ",IF(OR(NOT(ISNUMBER(A46)),B46=""),"Thiếu ngày/kênh",IF(COUNTIFS($A$5:$A$104,A46,$B$5:$B$104,B46)&gt;1,"Trùng ngày/kênh",IF(AA46="","Thiếu nguồn hoặc kênh",IF(G46=AA46,"Khớp","Lệch"))))))</f>
        <v/>
      </c>
    </row>
    <row r="47">
      <c r="A47" s="137" t="n"/>
      <c r="B47" s="112" t="n"/>
      <c r="C47" s="112" t="n"/>
      <c r="D47" s="112" t="n"/>
      <c r="E47" s="112" t="n"/>
      <c r="F47" s="112" t="n"/>
      <c r="G47" s="138" t="n"/>
      <c r="H47" s="112" t="n"/>
      <c r="I47" s="112" t="n"/>
      <c r="J47" s="112" t="n"/>
      <c r="K47" s="112" t="n"/>
      <c r="L47" s="112" t="n"/>
      <c r="M47" s="112" t="n"/>
      <c r="N47" s="139">
        <f>IF(OR(NOT(ISNUMBER(E47)),E47&lt;=0,NOT(ISNUMBER(F47))),"",F47/E47)</f>
        <v/>
      </c>
      <c r="O47" s="139">
        <f>IF(OR(NOT(ISNUMBER(H47)),H47&lt;=0,NOT(ISNUMBER(I47))),"",I47/H47)</f>
        <v/>
      </c>
      <c r="P47" s="139">
        <f>IF(OR(NOT(ISNUMBER(K47)),K47&lt;=0,NOT(ISNUMBER(J47))),"",J47/K47)</f>
        <v/>
      </c>
      <c r="Q47" s="139">
        <f>IF(OR(NOT(ISNUMBER(M47)),M47&lt;=0,NOT(ISNUMBER(L47))),"",L47/M47)</f>
        <v/>
      </c>
      <c r="R47" s="140">
        <f>IF(OR(NOT(ISNUMBER(I47)),I47&lt;=0,NOT(ISNUMBER(G47))),"",G47/I47)</f>
        <v/>
      </c>
      <c r="S47" s="112" t="n"/>
      <c r="T47" s="112" t="n"/>
      <c r="U47" s="112" t="n"/>
      <c r="V47" s="140">
        <f>IF(OR(NOT(ISNUMBER(E47)),E47&lt;=0,NOT(ISNUMBER(G47))),"",1000*G47/E47)</f>
        <v/>
      </c>
      <c r="W47" s="140">
        <f>IF(OR(NOT(ISNUMBER(F47)),F47&lt;=0,NOT(ISNUMBER(G47))),"",G47/F47)</f>
        <v/>
      </c>
      <c r="X47" s="112" t="n"/>
      <c r="Y47" s="112" t="n"/>
      <c r="Z47" s="139">
        <f>IF(OR(NOT(ISNUMBER(X47)),X47&lt;=0,NOT(ISNUMBER(Y47))),"",Y47/X47)</f>
        <v/>
      </c>
      <c r="AA47" s="140">
        <f>IF(OR(NOT(ISNUMBER(A47)),B47=""),"",IF(B47="LinkedIn",IF(COUNTIFS('03_Chi_tieu'!$A$7:$A$96,A47,'03_Chi_tieu'!$E$7:$E$96,"&gt;=0")=0,"",SUMIF('03_Chi_tieu'!$A$7:$A$96,A47,'03_Chi_tieu'!$E$7:$E$96)),IF(B47="Search",IF(COUNTIFS('03_Chi_tieu'!$A$7:$A$96,A47,'03_Chi_tieu'!$F$7:$F$96,"&gt;=0")=0,"",SUMIF('03_Chi_tieu'!$A$7:$A$96,A47,'03_Chi_tieu'!$F$7:$F$96)),IF(B47="Retargeting",IF(COUNTIFS('03_Chi_tieu'!$A$7:$A$96,A47,'03_Chi_tieu'!$G$7:$G$96,"&gt;=0")=0,"",SUMIF('03_Chi_tieu'!$A$7:$A$96,A47,'03_Chi_tieu'!$G$7:$G$96)),IF(B47="Other",IF(COUNTIFS('03_Chi_tieu'!$A$7:$A$96,A47,'03_Chi_tieu'!$H$7:$H$96,"&gt;=0")=0,"",SUMIF('03_Chi_tieu'!$A$7:$A$96,A47,'03_Chi_tieu'!$H$7:$H$96)),"")))))</f>
        <v/>
      </c>
      <c r="AB47">
        <f>IF(G47="","",IF(NOT(ISNUMBER(G47)),"Chi không hợp lệ",IF(OR(NOT(ISNUMBER(A47)),B47=""),"Thiếu ngày/kênh",IF(COUNTIFS($A$5:$A$104,A47,$B$5:$B$104,B47)&gt;1,"Trùng ngày/kênh",IF(AA47="","Thiếu nguồn hoặc kênh",IF(G47=AA47,"Khớp","Lệch"))))))</f>
        <v/>
      </c>
    </row>
    <row r="48">
      <c r="A48" s="137" t="n"/>
      <c r="B48" s="112" t="n"/>
      <c r="C48" s="112" t="n"/>
      <c r="D48" s="112" t="n"/>
      <c r="E48" s="112" t="n"/>
      <c r="F48" s="112" t="n"/>
      <c r="G48" s="138" t="n"/>
      <c r="H48" s="112" t="n"/>
      <c r="I48" s="112" t="n"/>
      <c r="J48" s="112" t="n"/>
      <c r="K48" s="112" t="n"/>
      <c r="L48" s="112" t="n"/>
      <c r="M48" s="112" t="n"/>
      <c r="N48" s="139">
        <f>IF(OR(NOT(ISNUMBER(E48)),E48&lt;=0,NOT(ISNUMBER(F48))),"",F48/E48)</f>
        <v/>
      </c>
      <c r="O48" s="139">
        <f>IF(OR(NOT(ISNUMBER(H48)),H48&lt;=0,NOT(ISNUMBER(I48))),"",I48/H48)</f>
        <v/>
      </c>
      <c r="P48" s="139">
        <f>IF(OR(NOT(ISNUMBER(K48)),K48&lt;=0,NOT(ISNUMBER(J48))),"",J48/K48)</f>
        <v/>
      </c>
      <c r="Q48" s="139">
        <f>IF(OR(NOT(ISNUMBER(M48)),M48&lt;=0,NOT(ISNUMBER(L48))),"",L48/M48)</f>
        <v/>
      </c>
      <c r="R48" s="140">
        <f>IF(OR(NOT(ISNUMBER(I48)),I48&lt;=0,NOT(ISNUMBER(G48))),"",G48/I48)</f>
        <v/>
      </c>
      <c r="S48" s="112" t="n"/>
      <c r="T48" s="112" t="n"/>
      <c r="U48" s="112" t="n"/>
      <c r="V48" s="140">
        <f>IF(OR(NOT(ISNUMBER(E48)),E48&lt;=0,NOT(ISNUMBER(G48))),"",1000*G48/E48)</f>
        <v/>
      </c>
      <c r="W48" s="140">
        <f>IF(OR(NOT(ISNUMBER(F48)),F48&lt;=0,NOT(ISNUMBER(G48))),"",G48/F48)</f>
        <v/>
      </c>
      <c r="X48" s="112" t="n"/>
      <c r="Y48" s="112" t="n"/>
      <c r="Z48" s="139">
        <f>IF(OR(NOT(ISNUMBER(X48)),X48&lt;=0,NOT(ISNUMBER(Y48))),"",Y48/X48)</f>
        <v/>
      </c>
      <c r="AA48" s="140">
        <f>IF(OR(NOT(ISNUMBER(A48)),B48=""),"",IF(B48="LinkedIn",IF(COUNTIFS('03_Chi_tieu'!$A$7:$A$96,A48,'03_Chi_tieu'!$E$7:$E$96,"&gt;=0")=0,"",SUMIF('03_Chi_tieu'!$A$7:$A$96,A48,'03_Chi_tieu'!$E$7:$E$96)),IF(B48="Search",IF(COUNTIFS('03_Chi_tieu'!$A$7:$A$96,A48,'03_Chi_tieu'!$F$7:$F$96,"&gt;=0")=0,"",SUMIF('03_Chi_tieu'!$A$7:$A$96,A48,'03_Chi_tieu'!$F$7:$F$96)),IF(B48="Retargeting",IF(COUNTIFS('03_Chi_tieu'!$A$7:$A$96,A48,'03_Chi_tieu'!$G$7:$G$96,"&gt;=0")=0,"",SUMIF('03_Chi_tieu'!$A$7:$A$96,A48,'03_Chi_tieu'!$G$7:$G$96)),IF(B48="Other",IF(COUNTIFS('03_Chi_tieu'!$A$7:$A$96,A48,'03_Chi_tieu'!$H$7:$H$96,"&gt;=0")=0,"",SUMIF('03_Chi_tieu'!$A$7:$A$96,A48,'03_Chi_tieu'!$H$7:$H$96)),"")))))</f>
        <v/>
      </c>
      <c r="AB48">
        <f>IF(G48="","",IF(NOT(ISNUMBER(G48)),"Chi không hợp lệ",IF(OR(NOT(ISNUMBER(A48)),B48=""),"Thiếu ngày/kênh",IF(COUNTIFS($A$5:$A$104,A48,$B$5:$B$104,B48)&gt;1,"Trùng ngày/kênh",IF(AA48="","Thiếu nguồn hoặc kênh",IF(G48=AA48,"Khớp","Lệch"))))))</f>
        <v/>
      </c>
    </row>
    <row r="49">
      <c r="A49" s="137" t="n"/>
      <c r="B49" s="112" t="n"/>
      <c r="C49" s="112" t="n"/>
      <c r="D49" s="112" t="n"/>
      <c r="E49" s="112" t="n"/>
      <c r="F49" s="112" t="n"/>
      <c r="G49" s="138" t="n"/>
      <c r="H49" s="112" t="n"/>
      <c r="I49" s="112" t="n"/>
      <c r="J49" s="112" t="n"/>
      <c r="K49" s="112" t="n"/>
      <c r="L49" s="112" t="n"/>
      <c r="M49" s="112" t="n"/>
      <c r="N49" s="139">
        <f>IF(OR(NOT(ISNUMBER(E49)),E49&lt;=0,NOT(ISNUMBER(F49))),"",F49/E49)</f>
        <v/>
      </c>
      <c r="O49" s="139">
        <f>IF(OR(NOT(ISNUMBER(H49)),H49&lt;=0,NOT(ISNUMBER(I49))),"",I49/H49)</f>
        <v/>
      </c>
      <c r="P49" s="139">
        <f>IF(OR(NOT(ISNUMBER(K49)),K49&lt;=0,NOT(ISNUMBER(J49))),"",J49/K49)</f>
        <v/>
      </c>
      <c r="Q49" s="139">
        <f>IF(OR(NOT(ISNUMBER(M49)),M49&lt;=0,NOT(ISNUMBER(L49))),"",L49/M49)</f>
        <v/>
      </c>
      <c r="R49" s="140">
        <f>IF(OR(NOT(ISNUMBER(I49)),I49&lt;=0,NOT(ISNUMBER(G49))),"",G49/I49)</f>
        <v/>
      </c>
      <c r="S49" s="112" t="n"/>
      <c r="T49" s="112" t="n"/>
      <c r="U49" s="112" t="n"/>
      <c r="V49" s="140">
        <f>IF(OR(NOT(ISNUMBER(E49)),E49&lt;=0,NOT(ISNUMBER(G49))),"",1000*G49/E49)</f>
        <v/>
      </c>
      <c r="W49" s="140">
        <f>IF(OR(NOT(ISNUMBER(F49)),F49&lt;=0,NOT(ISNUMBER(G49))),"",G49/F49)</f>
        <v/>
      </c>
      <c r="X49" s="112" t="n"/>
      <c r="Y49" s="112" t="n"/>
      <c r="Z49" s="139">
        <f>IF(OR(NOT(ISNUMBER(X49)),X49&lt;=0,NOT(ISNUMBER(Y49))),"",Y49/X49)</f>
        <v/>
      </c>
      <c r="AA49" s="140">
        <f>IF(OR(NOT(ISNUMBER(A49)),B49=""),"",IF(B49="LinkedIn",IF(COUNTIFS('03_Chi_tieu'!$A$7:$A$96,A49,'03_Chi_tieu'!$E$7:$E$96,"&gt;=0")=0,"",SUMIF('03_Chi_tieu'!$A$7:$A$96,A49,'03_Chi_tieu'!$E$7:$E$96)),IF(B49="Search",IF(COUNTIFS('03_Chi_tieu'!$A$7:$A$96,A49,'03_Chi_tieu'!$F$7:$F$96,"&gt;=0")=0,"",SUMIF('03_Chi_tieu'!$A$7:$A$96,A49,'03_Chi_tieu'!$F$7:$F$96)),IF(B49="Retargeting",IF(COUNTIFS('03_Chi_tieu'!$A$7:$A$96,A49,'03_Chi_tieu'!$G$7:$G$96,"&gt;=0")=0,"",SUMIF('03_Chi_tieu'!$A$7:$A$96,A49,'03_Chi_tieu'!$G$7:$G$96)),IF(B49="Other",IF(COUNTIFS('03_Chi_tieu'!$A$7:$A$96,A49,'03_Chi_tieu'!$H$7:$H$96,"&gt;=0")=0,"",SUMIF('03_Chi_tieu'!$A$7:$A$96,A49,'03_Chi_tieu'!$H$7:$H$96)),"")))))</f>
        <v/>
      </c>
      <c r="AB49">
        <f>IF(G49="","",IF(NOT(ISNUMBER(G49)),"Chi không hợp lệ",IF(OR(NOT(ISNUMBER(A49)),B49=""),"Thiếu ngày/kênh",IF(COUNTIFS($A$5:$A$104,A49,$B$5:$B$104,B49)&gt;1,"Trùng ngày/kênh",IF(AA49="","Thiếu nguồn hoặc kênh",IF(G49=AA49,"Khớp","Lệch"))))))</f>
        <v/>
      </c>
    </row>
    <row r="50">
      <c r="A50" s="137" t="n"/>
      <c r="B50" s="112" t="n"/>
      <c r="C50" s="112" t="n"/>
      <c r="D50" s="112" t="n"/>
      <c r="E50" s="112" t="n"/>
      <c r="F50" s="112" t="n"/>
      <c r="G50" s="138" t="n"/>
      <c r="H50" s="112" t="n"/>
      <c r="I50" s="112" t="n"/>
      <c r="J50" s="112" t="n"/>
      <c r="K50" s="112" t="n"/>
      <c r="L50" s="112" t="n"/>
      <c r="M50" s="112" t="n"/>
      <c r="N50" s="139">
        <f>IF(OR(NOT(ISNUMBER(E50)),E50&lt;=0,NOT(ISNUMBER(F50))),"",F50/E50)</f>
        <v/>
      </c>
      <c r="O50" s="139">
        <f>IF(OR(NOT(ISNUMBER(H50)),H50&lt;=0,NOT(ISNUMBER(I50))),"",I50/H50)</f>
        <v/>
      </c>
      <c r="P50" s="139">
        <f>IF(OR(NOT(ISNUMBER(K50)),K50&lt;=0,NOT(ISNUMBER(J50))),"",J50/K50)</f>
        <v/>
      </c>
      <c r="Q50" s="139">
        <f>IF(OR(NOT(ISNUMBER(M50)),M50&lt;=0,NOT(ISNUMBER(L50))),"",L50/M50)</f>
        <v/>
      </c>
      <c r="R50" s="140">
        <f>IF(OR(NOT(ISNUMBER(I50)),I50&lt;=0,NOT(ISNUMBER(G50))),"",G50/I50)</f>
        <v/>
      </c>
      <c r="S50" s="112" t="n"/>
      <c r="T50" s="112" t="n"/>
      <c r="U50" s="112" t="n"/>
      <c r="V50" s="140">
        <f>IF(OR(NOT(ISNUMBER(E50)),E50&lt;=0,NOT(ISNUMBER(G50))),"",1000*G50/E50)</f>
        <v/>
      </c>
      <c r="W50" s="140">
        <f>IF(OR(NOT(ISNUMBER(F50)),F50&lt;=0,NOT(ISNUMBER(G50))),"",G50/F50)</f>
        <v/>
      </c>
      <c r="X50" s="112" t="n"/>
      <c r="Y50" s="112" t="n"/>
      <c r="Z50" s="139">
        <f>IF(OR(NOT(ISNUMBER(X50)),X50&lt;=0,NOT(ISNUMBER(Y50))),"",Y50/X50)</f>
        <v/>
      </c>
      <c r="AA50" s="140">
        <f>IF(OR(NOT(ISNUMBER(A50)),B50=""),"",IF(B50="LinkedIn",IF(COUNTIFS('03_Chi_tieu'!$A$7:$A$96,A50,'03_Chi_tieu'!$E$7:$E$96,"&gt;=0")=0,"",SUMIF('03_Chi_tieu'!$A$7:$A$96,A50,'03_Chi_tieu'!$E$7:$E$96)),IF(B50="Search",IF(COUNTIFS('03_Chi_tieu'!$A$7:$A$96,A50,'03_Chi_tieu'!$F$7:$F$96,"&gt;=0")=0,"",SUMIF('03_Chi_tieu'!$A$7:$A$96,A50,'03_Chi_tieu'!$F$7:$F$96)),IF(B50="Retargeting",IF(COUNTIFS('03_Chi_tieu'!$A$7:$A$96,A50,'03_Chi_tieu'!$G$7:$G$96,"&gt;=0")=0,"",SUMIF('03_Chi_tieu'!$A$7:$A$96,A50,'03_Chi_tieu'!$G$7:$G$96)),IF(B50="Other",IF(COUNTIFS('03_Chi_tieu'!$A$7:$A$96,A50,'03_Chi_tieu'!$H$7:$H$96,"&gt;=0")=0,"",SUMIF('03_Chi_tieu'!$A$7:$A$96,A50,'03_Chi_tieu'!$H$7:$H$96)),"")))))</f>
        <v/>
      </c>
      <c r="AB50">
        <f>IF(G50="","",IF(NOT(ISNUMBER(G50)),"Chi không hợp lệ",IF(OR(NOT(ISNUMBER(A50)),B50=""),"Thiếu ngày/kênh",IF(COUNTIFS($A$5:$A$104,A50,$B$5:$B$104,B50)&gt;1,"Trùng ngày/kênh",IF(AA50="","Thiếu nguồn hoặc kênh",IF(G50=AA50,"Khớp","Lệch"))))))</f>
        <v/>
      </c>
    </row>
    <row r="51">
      <c r="A51" s="137" t="n"/>
      <c r="B51" s="112" t="n"/>
      <c r="C51" s="112" t="n"/>
      <c r="D51" s="112" t="n"/>
      <c r="E51" s="112" t="n"/>
      <c r="F51" s="112" t="n"/>
      <c r="G51" s="138" t="n"/>
      <c r="H51" s="112" t="n"/>
      <c r="I51" s="112" t="n"/>
      <c r="J51" s="112" t="n"/>
      <c r="K51" s="112" t="n"/>
      <c r="L51" s="112" t="n"/>
      <c r="M51" s="112" t="n"/>
      <c r="N51" s="139">
        <f>IF(OR(NOT(ISNUMBER(E51)),E51&lt;=0,NOT(ISNUMBER(F51))),"",F51/E51)</f>
        <v/>
      </c>
      <c r="O51" s="139">
        <f>IF(OR(NOT(ISNUMBER(H51)),H51&lt;=0,NOT(ISNUMBER(I51))),"",I51/H51)</f>
        <v/>
      </c>
      <c r="P51" s="139">
        <f>IF(OR(NOT(ISNUMBER(K51)),K51&lt;=0,NOT(ISNUMBER(J51))),"",J51/K51)</f>
        <v/>
      </c>
      <c r="Q51" s="139">
        <f>IF(OR(NOT(ISNUMBER(M51)),M51&lt;=0,NOT(ISNUMBER(L51))),"",L51/M51)</f>
        <v/>
      </c>
      <c r="R51" s="140">
        <f>IF(OR(NOT(ISNUMBER(I51)),I51&lt;=0,NOT(ISNUMBER(G51))),"",G51/I51)</f>
        <v/>
      </c>
      <c r="S51" s="112" t="n"/>
      <c r="T51" s="112" t="n"/>
      <c r="U51" s="112" t="n"/>
      <c r="V51" s="140">
        <f>IF(OR(NOT(ISNUMBER(E51)),E51&lt;=0,NOT(ISNUMBER(G51))),"",1000*G51/E51)</f>
        <v/>
      </c>
      <c r="W51" s="140">
        <f>IF(OR(NOT(ISNUMBER(F51)),F51&lt;=0,NOT(ISNUMBER(G51))),"",G51/F51)</f>
        <v/>
      </c>
      <c r="X51" s="112" t="n"/>
      <c r="Y51" s="112" t="n"/>
      <c r="Z51" s="139">
        <f>IF(OR(NOT(ISNUMBER(X51)),X51&lt;=0,NOT(ISNUMBER(Y51))),"",Y51/X51)</f>
        <v/>
      </c>
      <c r="AA51" s="140">
        <f>IF(OR(NOT(ISNUMBER(A51)),B51=""),"",IF(B51="LinkedIn",IF(COUNTIFS('03_Chi_tieu'!$A$7:$A$96,A51,'03_Chi_tieu'!$E$7:$E$96,"&gt;=0")=0,"",SUMIF('03_Chi_tieu'!$A$7:$A$96,A51,'03_Chi_tieu'!$E$7:$E$96)),IF(B51="Search",IF(COUNTIFS('03_Chi_tieu'!$A$7:$A$96,A51,'03_Chi_tieu'!$F$7:$F$96,"&gt;=0")=0,"",SUMIF('03_Chi_tieu'!$A$7:$A$96,A51,'03_Chi_tieu'!$F$7:$F$96)),IF(B51="Retargeting",IF(COUNTIFS('03_Chi_tieu'!$A$7:$A$96,A51,'03_Chi_tieu'!$G$7:$G$96,"&gt;=0")=0,"",SUMIF('03_Chi_tieu'!$A$7:$A$96,A51,'03_Chi_tieu'!$G$7:$G$96)),IF(B51="Other",IF(COUNTIFS('03_Chi_tieu'!$A$7:$A$96,A51,'03_Chi_tieu'!$H$7:$H$96,"&gt;=0")=0,"",SUMIF('03_Chi_tieu'!$A$7:$A$96,A51,'03_Chi_tieu'!$H$7:$H$96)),"")))))</f>
        <v/>
      </c>
      <c r="AB51">
        <f>IF(G51="","",IF(NOT(ISNUMBER(G51)),"Chi không hợp lệ",IF(OR(NOT(ISNUMBER(A51)),B51=""),"Thiếu ngày/kênh",IF(COUNTIFS($A$5:$A$104,A51,$B$5:$B$104,B51)&gt;1,"Trùng ngày/kênh",IF(AA51="","Thiếu nguồn hoặc kênh",IF(G51=AA51,"Khớp","Lệch"))))))</f>
        <v/>
      </c>
    </row>
    <row r="52">
      <c r="A52" s="137" t="n"/>
      <c r="B52" s="112" t="n"/>
      <c r="C52" s="112" t="n"/>
      <c r="D52" s="112" t="n"/>
      <c r="E52" s="112" t="n"/>
      <c r="F52" s="112" t="n"/>
      <c r="G52" s="138" t="n"/>
      <c r="H52" s="112" t="n"/>
      <c r="I52" s="112" t="n"/>
      <c r="J52" s="112" t="n"/>
      <c r="K52" s="112" t="n"/>
      <c r="L52" s="112" t="n"/>
      <c r="M52" s="112" t="n"/>
      <c r="N52" s="139">
        <f>IF(OR(NOT(ISNUMBER(E52)),E52&lt;=0,NOT(ISNUMBER(F52))),"",F52/E52)</f>
        <v/>
      </c>
      <c r="O52" s="139">
        <f>IF(OR(NOT(ISNUMBER(H52)),H52&lt;=0,NOT(ISNUMBER(I52))),"",I52/H52)</f>
        <v/>
      </c>
      <c r="P52" s="139">
        <f>IF(OR(NOT(ISNUMBER(K52)),K52&lt;=0,NOT(ISNUMBER(J52))),"",J52/K52)</f>
        <v/>
      </c>
      <c r="Q52" s="139">
        <f>IF(OR(NOT(ISNUMBER(M52)),M52&lt;=0,NOT(ISNUMBER(L52))),"",L52/M52)</f>
        <v/>
      </c>
      <c r="R52" s="140">
        <f>IF(OR(NOT(ISNUMBER(I52)),I52&lt;=0,NOT(ISNUMBER(G52))),"",G52/I52)</f>
        <v/>
      </c>
      <c r="S52" s="112" t="n"/>
      <c r="T52" s="112" t="n"/>
      <c r="U52" s="112" t="n"/>
      <c r="V52" s="140">
        <f>IF(OR(NOT(ISNUMBER(E52)),E52&lt;=0,NOT(ISNUMBER(G52))),"",1000*G52/E52)</f>
        <v/>
      </c>
      <c r="W52" s="140">
        <f>IF(OR(NOT(ISNUMBER(F52)),F52&lt;=0,NOT(ISNUMBER(G52))),"",G52/F52)</f>
        <v/>
      </c>
      <c r="X52" s="112" t="n"/>
      <c r="Y52" s="112" t="n"/>
      <c r="Z52" s="139">
        <f>IF(OR(NOT(ISNUMBER(X52)),X52&lt;=0,NOT(ISNUMBER(Y52))),"",Y52/X52)</f>
        <v/>
      </c>
      <c r="AA52" s="140">
        <f>IF(OR(NOT(ISNUMBER(A52)),B52=""),"",IF(B52="LinkedIn",IF(COUNTIFS('03_Chi_tieu'!$A$7:$A$96,A52,'03_Chi_tieu'!$E$7:$E$96,"&gt;=0")=0,"",SUMIF('03_Chi_tieu'!$A$7:$A$96,A52,'03_Chi_tieu'!$E$7:$E$96)),IF(B52="Search",IF(COUNTIFS('03_Chi_tieu'!$A$7:$A$96,A52,'03_Chi_tieu'!$F$7:$F$96,"&gt;=0")=0,"",SUMIF('03_Chi_tieu'!$A$7:$A$96,A52,'03_Chi_tieu'!$F$7:$F$96)),IF(B52="Retargeting",IF(COUNTIFS('03_Chi_tieu'!$A$7:$A$96,A52,'03_Chi_tieu'!$G$7:$G$96,"&gt;=0")=0,"",SUMIF('03_Chi_tieu'!$A$7:$A$96,A52,'03_Chi_tieu'!$G$7:$G$96)),IF(B52="Other",IF(COUNTIFS('03_Chi_tieu'!$A$7:$A$96,A52,'03_Chi_tieu'!$H$7:$H$96,"&gt;=0")=0,"",SUMIF('03_Chi_tieu'!$A$7:$A$96,A52,'03_Chi_tieu'!$H$7:$H$96)),"")))))</f>
        <v/>
      </c>
      <c r="AB52">
        <f>IF(G52="","",IF(NOT(ISNUMBER(G52)),"Chi không hợp lệ",IF(OR(NOT(ISNUMBER(A52)),B52=""),"Thiếu ngày/kênh",IF(COUNTIFS($A$5:$A$104,A52,$B$5:$B$104,B52)&gt;1,"Trùng ngày/kênh",IF(AA52="","Thiếu nguồn hoặc kênh",IF(G52=AA52,"Khớp","Lệch"))))))</f>
        <v/>
      </c>
    </row>
    <row r="53">
      <c r="A53" s="137" t="n"/>
      <c r="B53" s="112" t="n"/>
      <c r="C53" s="112" t="n"/>
      <c r="D53" s="112" t="n"/>
      <c r="E53" s="112" t="n"/>
      <c r="F53" s="112" t="n"/>
      <c r="G53" s="138" t="n"/>
      <c r="H53" s="112" t="n"/>
      <c r="I53" s="112" t="n"/>
      <c r="J53" s="112" t="n"/>
      <c r="K53" s="112" t="n"/>
      <c r="L53" s="112" t="n"/>
      <c r="M53" s="112" t="n"/>
      <c r="N53" s="139">
        <f>IF(OR(NOT(ISNUMBER(E53)),E53&lt;=0,NOT(ISNUMBER(F53))),"",F53/E53)</f>
        <v/>
      </c>
      <c r="O53" s="139">
        <f>IF(OR(NOT(ISNUMBER(H53)),H53&lt;=0,NOT(ISNUMBER(I53))),"",I53/H53)</f>
        <v/>
      </c>
      <c r="P53" s="139">
        <f>IF(OR(NOT(ISNUMBER(K53)),K53&lt;=0,NOT(ISNUMBER(J53))),"",J53/K53)</f>
        <v/>
      </c>
      <c r="Q53" s="139">
        <f>IF(OR(NOT(ISNUMBER(M53)),M53&lt;=0,NOT(ISNUMBER(L53))),"",L53/M53)</f>
        <v/>
      </c>
      <c r="R53" s="140">
        <f>IF(OR(NOT(ISNUMBER(I53)),I53&lt;=0,NOT(ISNUMBER(G53))),"",G53/I53)</f>
        <v/>
      </c>
      <c r="S53" s="112" t="n"/>
      <c r="T53" s="112" t="n"/>
      <c r="U53" s="112" t="n"/>
      <c r="V53" s="140">
        <f>IF(OR(NOT(ISNUMBER(E53)),E53&lt;=0,NOT(ISNUMBER(G53))),"",1000*G53/E53)</f>
        <v/>
      </c>
      <c r="W53" s="140">
        <f>IF(OR(NOT(ISNUMBER(F53)),F53&lt;=0,NOT(ISNUMBER(G53))),"",G53/F53)</f>
        <v/>
      </c>
      <c r="X53" s="112" t="n"/>
      <c r="Y53" s="112" t="n"/>
      <c r="Z53" s="139">
        <f>IF(OR(NOT(ISNUMBER(X53)),X53&lt;=0,NOT(ISNUMBER(Y53))),"",Y53/X53)</f>
        <v/>
      </c>
      <c r="AA53" s="140">
        <f>IF(OR(NOT(ISNUMBER(A53)),B53=""),"",IF(B53="LinkedIn",IF(COUNTIFS('03_Chi_tieu'!$A$7:$A$96,A53,'03_Chi_tieu'!$E$7:$E$96,"&gt;=0")=0,"",SUMIF('03_Chi_tieu'!$A$7:$A$96,A53,'03_Chi_tieu'!$E$7:$E$96)),IF(B53="Search",IF(COUNTIFS('03_Chi_tieu'!$A$7:$A$96,A53,'03_Chi_tieu'!$F$7:$F$96,"&gt;=0")=0,"",SUMIF('03_Chi_tieu'!$A$7:$A$96,A53,'03_Chi_tieu'!$F$7:$F$96)),IF(B53="Retargeting",IF(COUNTIFS('03_Chi_tieu'!$A$7:$A$96,A53,'03_Chi_tieu'!$G$7:$G$96,"&gt;=0")=0,"",SUMIF('03_Chi_tieu'!$A$7:$A$96,A53,'03_Chi_tieu'!$G$7:$G$96)),IF(B53="Other",IF(COUNTIFS('03_Chi_tieu'!$A$7:$A$96,A53,'03_Chi_tieu'!$H$7:$H$96,"&gt;=0")=0,"",SUMIF('03_Chi_tieu'!$A$7:$A$96,A53,'03_Chi_tieu'!$H$7:$H$96)),"")))))</f>
        <v/>
      </c>
      <c r="AB53">
        <f>IF(G53="","",IF(NOT(ISNUMBER(G53)),"Chi không hợp lệ",IF(OR(NOT(ISNUMBER(A53)),B53=""),"Thiếu ngày/kênh",IF(COUNTIFS($A$5:$A$104,A53,$B$5:$B$104,B53)&gt;1,"Trùng ngày/kênh",IF(AA53="","Thiếu nguồn hoặc kênh",IF(G53=AA53,"Khớp","Lệch"))))))</f>
        <v/>
      </c>
    </row>
    <row r="54">
      <c r="A54" s="137" t="n"/>
      <c r="B54" s="112" t="n"/>
      <c r="C54" s="112" t="n"/>
      <c r="D54" s="112" t="n"/>
      <c r="E54" s="112" t="n"/>
      <c r="F54" s="112" t="n"/>
      <c r="G54" s="138" t="n"/>
      <c r="H54" s="112" t="n"/>
      <c r="I54" s="112" t="n"/>
      <c r="J54" s="112" t="n"/>
      <c r="K54" s="112" t="n"/>
      <c r="L54" s="112" t="n"/>
      <c r="M54" s="112" t="n"/>
      <c r="N54" s="139">
        <f>IF(OR(NOT(ISNUMBER(E54)),E54&lt;=0,NOT(ISNUMBER(F54))),"",F54/E54)</f>
        <v/>
      </c>
      <c r="O54" s="139">
        <f>IF(OR(NOT(ISNUMBER(H54)),H54&lt;=0,NOT(ISNUMBER(I54))),"",I54/H54)</f>
        <v/>
      </c>
      <c r="P54" s="139">
        <f>IF(OR(NOT(ISNUMBER(K54)),K54&lt;=0,NOT(ISNUMBER(J54))),"",J54/K54)</f>
        <v/>
      </c>
      <c r="Q54" s="139">
        <f>IF(OR(NOT(ISNUMBER(M54)),M54&lt;=0,NOT(ISNUMBER(L54))),"",L54/M54)</f>
        <v/>
      </c>
      <c r="R54" s="140">
        <f>IF(OR(NOT(ISNUMBER(I54)),I54&lt;=0,NOT(ISNUMBER(G54))),"",G54/I54)</f>
        <v/>
      </c>
      <c r="S54" s="112" t="n"/>
      <c r="T54" s="112" t="n"/>
      <c r="U54" s="112" t="n"/>
      <c r="V54" s="140">
        <f>IF(OR(NOT(ISNUMBER(E54)),E54&lt;=0,NOT(ISNUMBER(G54))),"",1000*G54/E54)</f>
        <v/>
      </c>
      <c r="W54" s="140">
        <f>IF(OR(NOT(ISNUMBER(F54)),F54&lt;=0,NOT(ISNUMBER(G54))),"",G54/F54)</f>
        <v/>
      </c>
      <c r="X54" s="112" t="n"/>
      <c r="Y54" s="112" t="n"/>
      <c r="Z54" s="139">
        <f>IF(OR(NOT(ISNUMBER(X54)),X54&lt;=0,NOT(ISNUMBER(Y54))),"",Y54/X54)</f>
        <v/>
      </c>
      <c r="AA54" s="140">
        <f>IF(OR(NOT(ISNUMBER(A54)),B54=""),"",IF(B54="LinkedIn",IF(COUNTIFS('03_Chi_tieu'!$A$7:$A$96,A54,'03_Chi_tieu'!$E$7:$E$96,"&gt;=0")=0,"",SUMIF('03_Chi_tieu'!$A$7:$A$96,A54,'03_Chi_tieu'!$E$7:$E$96)),IF(B54="Search",IF(COUNTIFS('03_Chi_tieu'!$A$7:$A$96,A54,'03_Chi_tieu'!$F$7:$F$96,"&gt;=0")=0,"",SUMIF('03_Chi_tieu'!$A$7:$A$96,A54,'03_Chi_tieu'!$F$7:$F$96)),IF(B54="Retargeting",IF(COUNTIFS('03_Chi_tieu'!$A$7:$A$96,A54,'03_Chi_tieu'!$G$7:$G$96,"&gt;=0")=0,"",SUMIF('03_Chi_tieu'!$A$7:$A$96,A54,'03_Chi_tieu'!$G$7:$G$96)),IF(B54="Other",IF(COUNTIFS('03_Chi_tieu'!$A$7:$A$96,A54,'03_Chi_tieu'!$H$7:$H$96,"&gt;=0")=0,"",SUMIF('03_Chi_tieu'!$A$7:$A$96,A54,'03_Chi_tieu'!$H$7:$H$96)),"")))))</f>
        <v/>
      </c>
      <c r="AB54">
        <f>IF(G54="","",IF(NOT(ISNUMBER(G54)),"Chi không hợp lệ",IF(OR(NOT(ISNUMBER(A54)),B54=""),"Thiếu ngày/kênh",IF(COUNTIFS($A$5:$A$104,A54,$B$5:$B$104,B54)&gt;1,"Trùng ngày/kênh",IF(AA54="","Thiếu nguồn hoặc kênh",IF(G54=AA54,"Khớp","Lệch"))))))</f>
        <v/>
      </c>
    </row>
    <row r="55">
      <c r="A55" s="137" t="n"/>
      <c r="B55" s="112" t="n"/>
      <c r="C55" s="112" t="n"/>
      <c r="D55" s="112" t="n"/>
      <c r="E55" s="112" t="n"/>
      <c r="F55" s="112" t="n"/>
      <c r="G55" s="138" t="n"/>
      <c r="H55" s="112" t="n"/>
      <c r="I55" s="112" t="n"/>
      <c r="J55" s="112" t="n"/>
      <c r="K55" s="112" t="n"/>
      <c r="L55" s="112" t="n"/>
      <c r="M55" s="112" t="n"/>
      <c r="N55" s="139">
        <f>IF(OR(NOT(ISNUMBER(E55)),E55&lt;=0,NOT(ISNUMBER(F55))),"",F55/E55)</f>
        <v/>
      </c>
      <c r="O55" s="139">
        <f>IF(OR(NOT(ISNUMBER(H55)),H55&lt;=0,NOT(ISNUMBER(I55))),"",I55/H55)</f>
        <v/>
      </c>
      <c r="P55" s="139">
        <f>IF(OR(NOT(ISNUMBER(K55)),K55&lt;=0,NOT(ISNUMBER(J55))),"",J55/K55)</f>
        <v/>
      </c>
      <c r="Q55" s="139">
        <f>IF(OR(NOT(ISNUMBER(M55)),M55&lt;=0,NOT(ISNUMBER(L55))),"",L55/M55)</f>
        <v/>
      </c>
      <c r="R55" s="140">
        <f>IF(OR(NOT(ISNUMBER(I55)),I55&lt;=0,NOT(ISNUMBER(G55))),"",G55/I55)</f>
        <v/>
      </c>
      <c r="S55" s="112" t="n"/>
      <c r="T55" s="112" t="n"/>
      <c r="U55" s="112" t="n"/>
      <c r="V55" s="140">
        <f>IF(OR(NOT(ISNUMBER(E55)),E55&lt;=0,NOT(ISNUMBER(G55))),"",1000*G55/E55)</f>
        <v/>
      </c>
      <c r="W55" s="140">
        <f>IF(OR(NOT(ISNUMBER(F55)),F55&lt;=0,NOT(ISNUMBER(G55))),"",G55/F55)</f>
        <v/>
      </c>
      <c r="X55" s="112" t="n"/>
      <c r="Y55" s="112" t="n"/>
      <c r="Z55" s="139">
        <f>IF(OR(NOT(ISNUMBER(X55)),X55&lt;=0,NOT(ISNUMBER(Y55))),"",Y55/X55)</f>
        <v/>
      </c>
      <c r="AA55" s="140">
        <f>IF(OR(NOT(ISNUMBER(A55)),B55=""),"",IF(B55="LinkedIn",IF(COUNTIFS('03_Chi_tieu'!$A$7:$A$96,A55,'03_Chi_tieu'!$E$7:$E$96,"&gt;=0")=0,"",SUMIF('03_Chi_tieu'!$A$7:$A$96,A55,'03_Chi_tieu'!$E$7:$E$96)),IF(B55="Search",IF(COUNTIFS('03_Chi_tieu'!$A$7:$A$96,A55,'03_Chi_tieu'!$F$7:$F$96,"&gt;=0")=0,"",SUMIF('03_Chi_tieu'!$A$7:$A$96,A55,'03_Chi_tieu'!$F$7:$F$96)),IF(B55="Retargeting",IF(COUNTIFS('03_Chi_tieu'!$A$7:$A$96,A55,'03_Chi_tieu'!$G$7:$G$96,"&gt;=0")=0,"",SUMIF('03_Chi_tieu'!$A$7:$A$96,A55,'03_Chi_tieu'!$G$7:$G$96)),IF(B55="Other",IF(COUNTIFS('03_Chi_tieu'!$A$7:$A$96,A55,'03_Chi_tieu'!$H$7:$H$96,"&gt;=0")=0,"",SUMIF('03_Chi_tieu'!$A$7:$A$96,A55,'03_Chi_tieu'!$H$7:$H$96)),"")))))</f>
        <v/>
      </c>
      <c r="AB55">
        <f>IF(G55="","",IF(NOT(ISNUMBER(G55)),"Chi không hợp lệ",IF(OR(NOT(ISNUMBER(A55)),B55=""),"Thiếu ngày/kênh",IF(COUNTIFS($A$5:$A$104,A55,$B$5:$B$104,B55)&gt;1,"Trùng ngày/kênh",IF(AA55="","Thiếu nguồn hoặc kênh",IF(G55=AA55,"Khớp","Lệch"))))))</f>
        <v/>
      </c>
    </row>
    <row r="56">
      <c r="A56" s="137" t="n"/>
      <c r="B56" s="112" t="n"/>
      <c r="C56" s="112" t="n"/>
      <c r="D56" s="112" t="n"/>
      <c r="E56" s="112" t="n"/>
      <c r="F56" s="112" t="n"/>
      <c r="G56" s="138" t="n"/>
      <c r="H56" s="112" t="n"/>
      <c r="I56" s="112" t="n"/>
      <c r="J56" s="112" t="n"/>
      <c r="K56" s="112" t="n"/>
      <c r="L56" s="112" t="n"/>
      <c r="M56" s="112" t="n"/>
      <c r="N56" s="139">
        <f>IF(OR(NOT(ISNUMBER(E56)),E56&lt;=0,NOT(ISNUMBER(F56))),"",F56/E56)</f>
        <v/>
      </c>
      <c r="O56" s="139">
        <f>IF(OR(NOT(ISNUMBER(H56)),H56&lt;=0,NOT(ISNUMBER(I56))),"",I56/H56)</f>
        <v/>
      </c>
      <c r="P56" s="139">
        <f>IF(OR(NOT(ISNUMBER(K56)),K56&lt;=0,NOT(ISNUMBER(J56))),"",J56/K56)</f>
        <v/>
      </c>
      <c r="Q56" s="139">
        <f>IF(OR(NOT(ISNUMBER(M56)),M56&lt;=0,NOT(ISNUMBER(L56))),"",L56/M56)</f>
        <v/>
      </c>
      <c r="R56" s="140">
        <f>IF(OR(NOT(ISNUMBER(I56)),I56&lt;=0,NOT(ISNUMBER(G56))),"",G56/I56)</f>
        <v/>
      </c>
      <c r="S56" s="112" t="n"/>
      <c r="T56" s="112" t="n"/>
      <c r="U56" s="112" t="n"/>
      <c r="V56" s="140">
        <f>IF(OR(NOT(ISNUMBER(E56)),E56&lt;=0,NOT(ISNUMBER(G56))),"",1000*G56/E56)</f>
        <v/>
      </c>
      <c r="W56" s="140">
        <f>IF(OR(NOT(ISNUMBER(F56)),F56&lt;=0,NOT(ISNUMBER(G56))),"",G56/F56)</f>
        <v/>
      </c>
      <c r="X56" s="112" t="n"/>
      <c r="Y56" s="112" t="n"/>
      <c r="Z56" s="139">
        <f>IF(OR(NOT(ISNUMBER(X56)),X56&lt;=0,NOT(ISNUMBER(Y56))),"",Y56/X56)</f>
        <v/>
      </c>
      <c r="AA56" s="140">
        <f>IF(OR(NOT(ISNUMBER(A56)),B56=""),"",IF(B56="LinkedIn",IF(COUNTIFS('03_Chi_tieu'!$A$7:$A$96,A56,'03_Chi_tieu'!$E$7:$E$96,"&gt;=0")=0,"",SUMIF('03_Chi_tieu'!$A$7:$A$96,A56,'03_Chi_tieu'!$E$7:$E$96)),IF(B56="Search",IF(COUNTIFS('03_Chi_tieu'!$A$7:$A$96,A56,'03_Chi_tieu'!$F$7:$F$96,"&gt;=0")=0,"",SUMIF('03_Chi_tieu'!$A$7:$A$96,A56,'03_Chi_tieu'!$F$7:$F$96)),IF(B56="Retargeting",IF(COUNTIFS('03_Chi_tieu'!$A$7:$A$96,A56,'03_Chi_tieu'!$G$7:$G$96,"&gt;=0")=0,"",SUMIF('03_Chi_tieu'!$A$7:$A$96,A56,'03_Chi_tieu'!$G$7:$G$96)),IF(B56="Other",IF(COUNTIFS('03_Chi_tieu'!$A$7:$A$96,A56,'03_Chi_tieu'!$H$7:$H$96,"&gt;=0")=0,"",SUMIF('03_Chi_tieu'!$A$7:$A$96,A56,'03_Chi_tieu'!$H$7:$H$96)),"")))))</f>
        <v/>
      </c>
      <c r="AB56">
        <f>IF(G56="","",IF(NOT(ISNUMBER(G56)),"Chi không hợp lệ",IF(OR(NOT(ISNUMBER(A56)),B56=""),"Thiếu ngày/kênh",IF(COUNTIFS($A$5:$A$104,A56,$B$5:$B$104,B56)&gt;1,"Trùng ngày/kênh",IF(AA56="","Thiếu nguồn hoặc kênh",IF(G56=AA56,"Khớp","Lệch"))))))</f>
        <v/>
      </c>
    </row>
    <row r="57">
      <c r="A57" s="137" t="n"/>
      <c r="B57" s="112" t="n"/>
      <c r="C57" s="112" t="n"/>
      <c r="D57" s="112" t="n"/>
      <c r="E57" s="112" t="n"/>
      <c r="F57" s="112" t="n"/>
      <c r="G57" s="138" t="n"/>
      <c r="H57" s="112" t="n"/>
      <c r="I57" s="112" t="n"/>
      <c r="J57" s="112" t="n"/>
      <c r="K57" s="112" t="n"/>
      <c r="L57" s="112" t="n"/>
      <c r="M57" s="112" t="n"/>
      <c r="N57" s="139">
        <f>IF(OR(NOT(ISNUMBER(E57)),E57&lt;=0,NOT(ISNUMBER(F57))),"",F57/E57)</f>
        <v/>
      </c>
      <c r="O57" s="139">
        <f>IF(OR(NOT(ISNUMBER(H57)),H57&lt;=0,NOT(ISNUMBER(I57))),"",I57/H57)</f>
        <v/>
      </c>
      <c r="P57" s="139">
        <f>IF(OR(NOT(ISNUMBER(K57)),K57&lt;=0,NOT(ISNUMBER(J57))),"",J57/K57)</f>
        <v/>
      </c>
      <c r="Q57" s="139">
        <f>IF(OR(NOT(ISNUMBER(M57)),M57&lt;=0,NOT(ISNUMBER(L57))),"",L57/M57)</f>
        <v/>
      </c>
      <c r="R57" s="140">
        <f>IF(OR(NOT(ISNUMBER(I57)),I57&lt;=0,NOT(ISNUMBER(G57))),"",G57/I57)</f>
        <v/>
      </c>
      <c r="S57" s="112" t="n"/>
      <c r="T57" s="112" t="n"/>
      <c r="U57" s="112" t="n"/>
      <c r="V57" s="140">
        <f>IF(OR(NOT(ISNUMBER(E57)),E57&lt;=0,NOT(ISNUMBER(G57))),"",1000*G57/E57)</f>
        <v/>
      </c>
      <c r="W57" s="140">
        <f>IF(OR(NOT(ISNUMBER(F57)),F57&lt;=0,NOT(ISNUMBER(G57))),"",G57/F57)</f>
        <v/>
      </c>
      <c r="X57" s="112" t="n"/>
      <c r="Y57" s="112" t="n"/>
      <c r="Z57" s="139">
        <f>IF(OR(NOT(ISNUMBER(X57)),X57&lt;=0,NOT(ISNUMBER(Y57))),"",Y57/X57)</f>
        <v/>
      </c>
      <c r="AA57" s="140">
        <f>IF(OR(NOT(ISNUMBER(A57)),B57=""),"",IF(B57="LinkedIn",IF(COUNTIFS('03_Chi_tieu'!$A$7:$A$96,A57,'03_Chi_tieu'!$E$7:$E$96,"&gt;=0")=0,"",SUMIF('03_Chi_tieu'!$A$7:$A$96,A57,'03_Chi_tieu'!$E$7:$E$96)),IF(B57="Search",IF(COUNTIFS('03_Chi_tieu'!$A$7:$A$96,A57,'03_Chi_tieu'!$F$7:$F$96,"&gt;=0")=0,"",SUMIF('03_Chi_tieu'!$A$7:$A$96,A57,'03_Chi_tieu'!$F$7:$F$96)),IF(B57="Retargeting",IF(COUNTIFS('03_Chi_tieu'!$A$7:$A$96,A57,'03_Chi_tieu'!$G$7:$G$96,"&gt;=0")=0,"",SUMIF('03_Chi_tieu'!$A$7:$A$96,A57,'03_Chi_tieu'!$G$7:$G$96)),IF(B57="Other",IF(COUNTIFS('03_Chi_tieu'!$A$7:$A$96,A57,'03_Chi_tieu'!$H$7:$H$96,"&gt;=0")=0,"",SUMIF('03_Chi_tieu'!$A$7:$A$96,A57,'03_Chi_tieu'!$H$7:$H$96)),"")))))</f>
        <v/>
      </c>
      <c r="AB57">
        <f>IF(G57="","",IF(NOT(ISNUMBER(G57)),"Chi không hợp lệ",IF(OR(NOT(ISNUMBER(A57)),B57=""),"Thiếu ngày/kênh",IF(COUNTIFS($A$5:$A$104,A57,$B$5:$B$104,B57)&gt;1,"Trùng ngày/kênh",IF(AA57="","Thiếu nguồn hoặc kênh",IF(G57=AA57,"Khớp","Lệch"))))))</f>
        <v/>
      </c>
    </row>
    <row r="58">
      <c r="A58" s="137" t="n"/>
      <c r="B58" s="112" t="n"/>
      <c r="C58" s="112" t="n"/>
      <c r="D58" s="112" t="n"/>
      <c r="E58" s="112" t="n"/>
      <c r="F58" s="112" t="n"/>
      <c r="G58" s="138" t="n"/>
      <c r="H58" s="112" t="n"/>
      <c r="I58" s="112" t="n"/>
      <c r="J58" s="112" t="n"/>
      <c r="K58" s="112" t="n"/>
      <c r="L58" s="112" t="n"/>
      <c r="M58" s="112" t="n"/>
      <c r="N58" s="139">
        <f>IF(OR(NOT(ISNUMBER(E58)),E58&lt;=0,NOT(ISNUMBER(F58))),"",F58/E58)</f>
        <v/>
      </c>
      <c r="O58" s="139">
        <f>IF(OR(NOT(ISNUMBER(H58)),H58&lt;=0,NOT(ISNUMBER(I58))),"",I58/H58)</f>
        <v/>
      </c>
      <c r="P58" s="139">
        <f>IF(OR(NOT(ISNUMBER(K58)),K58&lt;=0,NOT(ISNUMBER(J58))),"",J58/K58)</f>
        <v/>
      </c>
      <c r="Q58" s="139">
        <f>IF(OR(NOT(ISNUMBER(M58)),M58&lt;=0,NOT(ISNUMBER(L58))),"",L58/M58)</f>
        <v/>
      </c>
      <c r="R58" s="140">
        <f>IF(OR(NOT(ISNUMBER(I58)),I58&lt;=0,NOT(ISNUMBER(G58))),"",G58/I58)</f>
        <v/>
      </c>
      <c r="S58" s="112" t="n"/>
      <c r="T58" s="112" t="n"/>
      <c r="U58" s="112" t="n"/>
      <c r="V58" s="140">
        <f>IF(OR(NOT(ISNUMBER(E58)),E58&lt;=0,NOT(ISNUMBER(G58))),"",1000*G58/E58)</f>
        <v/>
      </c>
      <c r="W58" s="140">
        <f>IF(OR(NOT(ISNUMBER(F58)),F58&lt;=0,NOT(ISNUMBER(G58))),"",G58/F58)</f>
        <v/>
      </c>
      <c r="X58" s="112" t="n"/>
      <c r="Y58" s="112" t="n"/>
      <c r="Z58" s="139">
        <f>IF(OR(NOT(ISNUMBER(X58)),X58&lt;=0,NOT(ISNUMBER(Y58))),"",Y58/X58)</f>
        <v/>
      </c>
      <c r="AA58" s="140">
        <f>IF(OR(NOT(ISNUMBER(A58)),B58=""),"",IF(B58="LinkedIn",IF(COUNTIFS('03_Chi_tieu'!$A$7:$A$96,A58,'03_Chi_tieu'!$E$7:$E$96,"&gt;=0")=0,"",SUMIF('03_Chi_tieu'!$A$7:$A$96,A58,'03_Chi_tieu'!$E$7:$E$96)),IF(B58="Search",IF(COUNTIFS('03_Chi_tieu'!$A$7:$A$96,A58,'03_Chi_tieu'!$F$7:$F$96,"&gt;=0")=0,"",SUMIF('03_Chi_tieu'!$A$7:$A$96,A58,'03_Chi_tieu'!$F$7:$F$96)),IF(B58="Retargeting",IF(COUNTIFS('03_Chi_tieu'!$A$7:$A$96,A58,'03_Chi_tieu'!$G$7:$G$96,"&gt;=0")=0,"",SUMIF('03_Chi_tieu'!$A$7:$A$96,A58,'03_Chi_tieu'!$G$7:$G$96)),IF(B58="Other",IF(COUNTIFS('03_Chi_tieu'!$A$7:$A$96,A58,'03_Chi_tieu'!$H$7:$H$96,"&gt;=0")=0,"",SUMIF('03_Chi_tieu'!$A$7:$A$96,A58,'03_Chi_tieu'!$H$7:$H$96)),"")))))</f>
        <v/>
      </c>
      <c r="AB58">
        <f>IF(G58="","",IF(NOT(ISNUMBER(G58)),"Chi không hợp lệ",IF(OR(NOT(ISNUMBER(A58)),B58=""),"Thiếu ngày/kênh",IF(COUNTIFS($A$5:$A$104,A58,$B$5:$B$104,B58)&gt;1,"Trùng ngày/kênh",IF(AA58="","Thiếu nguồn hoặc kênh",IF(G58=AA58,"Khớp","Lệch"))))))</f>
        <v/>
      </c>
    </row>
    <row r="59">
      <c r="A59" s="137" t="n"/>
      <c r="B59" s="112" t="n"/>
      <c r="C59" s="112" t="n"/>
      <c r="D59" s="112" t="n"/>
      <c r="E59" s="112" t="n"/>
      <c r="F59" s="112" t="n"/>
      <c r="G59" s="138" t="n"/>
      <c r="H59" s="112" t="n"/>
      <c r="I59" s="112" t="n"/>
      <c r="J59" s="112" t="n"/>
      <c r="K59" s="112" t="n"/>
      <c r="L59" s="112" t="n"/>
      <c r="M59" s="112" t="n"/>
      <c r="N59" s="139">
        <f>IF(OR(NOT(ISNUMBER(E59)),E59&lt;=0,NOT(ISNUMBER(F59))),"",F59/E59)</f>
        <v/>
      </c>
      <c r="O59" s="139">
        <f>IF(OR(NOT(ISNUMBER(H59)),H59&lt;=0,NOT(ISNUMBER(I59))),"",I59/H59)</f>
        <v/>
      </c>
      <c r="P59" s="139">
        <f>IF(OR(NOT(ISNUMBER(K59)),K59&lt;=0,NOT(ISNUMBER(J59))),"",J59/K59)</f>
        <v/>
      </c>
      <c r="Q59" s="139">
        <f>IF(OR(NOT(ISNUMBER(M59)),M59&lt;=0,NOT(ISNUMBER(L59))),"",L59/M59)</f>
        <v/>
      </c>
      <c r="R59" s="140">
        <f>IF(OR(NOT(ISNUMBER(I59)),I59&lt;=0,NOT(ISNUMBER(G59))),"",G59/I59)</f>
        <v/>
      </c>
      <c r="S59" s="112" t="n"/>
      <c r="T59" s="112" t="n"/>
      <c r="U59" s="112" t="n"/>
      <c r="V59" s="140">
        <f>IF(OR(NOT(ISNUMBER(E59)),E59&lt;=0,NOT(ISNUMBER(G59))),"",1000*G59/E59)</f>
        <v/>
      </c>
      <c r="W59" s="140">
        <f>IF(OR(NOT(ISNUMBER(F59)),F59&lt;=0,NOT(ISNUMBER(G59))),"",G59/F59)</f>
        <v/>
      </c>
      <c r="X59" s="112" t="n"/>
      <c r="Y59" s="112" t="n"/>
      <c r="Z59" s="139">
        <f>IF(OR(NOT(ISNUMBER(X59)),X59&lt;=0,NOT(ISNUMBER(Y59))),"",Y59/X59)</f>
        <v/>
      </c>
      <c r="AA59" s="140">
        <f>IF(OR(NOT(ISNUMBER(A59)),B59=""),"",IF(B59="LinkedIn",IF(COUNTIFS('03_Chi_tieu'!$A$7:$A$96,A59,'03_Chi_tieu'!$E$7:$E$96,"&gt;=0")=0,"",SUMIF('03_Chi_tieu'!$A$7:$A$96,A59,'03_Chi_tieu'!$E$7:$E$96)),IF(B59="Search",IF(COUNTIFS('03_Chi_tieu'!$A$7:$A$96,A59,'03_Chi_tieu'!$F$7:$F$96,"&gt;=0")=0,"",SUMIF('03_Chi_tieu'!$A$7:$A$96,A59,'03_Chi_tieu'!$F$7:$F$96)),IF(B59="Retargeting",IF(COUNTIFS('03_Chi_tieu'!$A$7:$A$96,A59,'03_Chi_tieu'!$G$7:$G$96,"&gt;=0")=0,"",SUMIF('03_Chi_tieu'!$A$7:$A$96,A59,'03_Chi_tieu'!$G$7:$G$96)),IF(B59="Other",IF(COUNTIFS('03_Chi_tieu'!$A$7:$A$96,A59,'03_Chi_tieu'!$H$7:$H$96,"&gt;=0")=0,"",SUMIF('03_Chi_tieu'!$A$7:$A$96,A59,'03_Chi_tieu'!$H$7:$H$96)),"")))))</f>
        <v/>
      </c>
      <c r="AB59">
        <f>IF(G59="","",IF(NOT(ISNUMBER(G59)),"Chi không hợp lệ",IF(OR(NOT(ISNUMBER(A59)),B59=""),"Thiếu ngày/kênh",IF(COUNTIFS($A$5:$A$104,A59,$B$5:$B$104,B59)&gt;1,"Trùng ngày/kênh",IF(AA59="","Thiếu nguồn hoặc kênh",IF(G59=AA59,"Khớp","Lệch"))))))</f>
        <v/>
      </c>
    </row>
    <row r="60">
      <c r="A60" s="137" t="n"/>
      <c r="B60" s="112" t="n"/>
      <c r="C60" s="112" t="n"/>
      <c r="D60" s="112" t="n"/>
      <c r="E60" s="112" t="n"/>
      <c r="F60" s="112" t="n"/>
      <c r="G60" s="138" t="n"/>
      <c r="H60" s="112" t="n"/>
      <c r="I60" s="112" t="n"/>
      <c r="J60" s="112" t="n"/>
      <c r="K60" s="112" t="n"/>
      <c r="L60" s="112" t="n"/>
      <c r="M60" s="112" t="n"/>
      <c r="N60" s="139">
        <f>IF(OR(NOT(ISNUMBER(E60)),E60&lt;=0,NOT(ISNUMBER(F60))),"",F60/E60)</f>
        <v/>
      </c>
      <c r="O60" s="139">
        <f>IF(OR(NOT(ISNUMBER(H60)),H60&lt;=0,NOT(ISNUMBER(I60))),"",I60/H60)</f>
        <v/>
      </c>
      <c r="P60" s="139">
        <f>IF(OR(NOT(ISNUMBER(K60)),K60&lt;=0,NOT(ISNUMBER(J60))),"",J60/K60)</f>
        <v/>
      </c>
      <c r="Q60" s="139">
        <f>IF(OR(NOT(ISNUMBER(M60)),M60&lt;=0,NOT(ISNUMBER(L60))),"",L60/M60)</f>
        <v/>
      </c>
      <c r="R60" s="140">
        <f>IF(OR(NOT(ISNUMBER(I60)),I60&lt;=0,NOT(ISNUMBER(G60))),"",G60/I60)</f>
        <v/>
      </c>
      <c r="S60" s="112" t="n"/>
      <c r="T60" s="112" t="n"/>
      <c r="U60" s="112" t="n"/>
      <c r="V60" s="140">
        <f>IF(OR(NOT(ISNUMBER(E60)),E60&lt;=0,NOT(ISNUMBER(G60))),"",1000*G60/E60)</f>
        <v/>
      </c>
      <c r="W60" s="140">
        <f>IF(OR(NOT(ISNUMBER(F60)),F60&lt;=0,NOT(ISNUMBER(G60))),"",G60/F60)</f>
        <v/>
      </c>
      <c r="X60" s="112" t="n"/>
      <c r="Y60" s="112" t="n"/>
      <c r="Z60" s="139">
        <f>IF(OR(NOT(ISNUMBER(X60)),X60&lt;=0,NOT(ISNUMBER(Y60))),"",Y60/X60)</f>
        <v/>
      </c>
      <c r="AA60" s="140">
        <f>IF(OR(NOT(ISNUMBER(A60)),B60=""),"",IF(B60="LinkedIn",IF(COUNTIFS('03_Chi_tieu'!$A$7:$A$96,A60,'03_Chi_tieu'!$E$7:$E$96,"&gt;=0")=0,"",SUMIF('03_Chi_tieu'!$A$7:$A$96,A60,'03_Chi_tieu'!$E$7:$E$96)),IF(B60="Search",IF(COUNTIFS('03_Chi_tieu'!$A$7:$A$96,A60,'03_Chi_tieu'!$F$7:$F$96,"&gt;=0")=0,"",SUMIF('03_Chi_tieu'!$A$7:$A$96,A60,'03_Chi_tieu'!$F$7:$F$96)),IF(B60="Retargeting",IF(COUNTIFS('03_Chi_tieu'!$A$7:$A$96,A60,'03_Chi_tieu'!$G$7:$G$96,"&gt;=0")=0,"",SUMIF('03_Chi_tieu'!$A$7:$A$96,A60,'03_Chi_tieu'!$G$7:$G$96)),IF(B60="Other",IF(COUNTIFS('03_Chi_tieu'!$A$7:$A$96,A60,'03_Chi_tieu'!$H$7:$H$96,"&gt;=0")=0,"",SUMIF('03_Chi_tieu'!$A$7:$A$96,A60,'03_Chi_tieu'!$H$7:$H$96)),"")))))</f>
        <v/>
      </c>
      <c r="AB60">
        <f>IF(G60="","",IF(NOT(ISNUMBER(G60)),"Chi không hợp lệ",IF(OR(NOT(ISNUMBER(A60)),B60=""),"Thiếu ngày/kênh",IF(COUNTIFS($A$5:$A$104,A60,$B$5:$B$104,B60)&gt;1,"Trùng ngày/kênh",IF(AA60="","Thiếu nguồn hoặc kênh",IF(G60=AA60,"Khớp","Lệch"))))))</f>
        <v/>
      </c>
    </row>
    <row r="61">
      <c r="A61" s="137" t="n"/>
      <c r="B61" s="112" t="n"/>
      <c r="C61" s="112" t="n"/>
      <c r="D61" s="112" t="n"/>
      <c r="E61" s="112" t="n"/>
      <c r="F61" s="112" t="n"/>
      <c r="G61" s="138" t="n"/>
      <c r="H61" s="112" t="n"/>
      <c r="I61" s="112" t="n"/>
      <c r="J61" s="112" t="n"/>
      <c r="K61" s="112" t="n"/>
      <c r="L61" s="112" t="n"/>
      <c r="M61" s="112" t="n"/>
      <c r="N61" s="139">
        <f>IF(OR(NOT(ISNUMBER(E61)),E61&lt;=0,NOT(ISNUMBER(F61))),"",F61/E61)</f>
        <v/>
      </c>
      <c r="O61" s="139">
        <f>IF(OR(NOT(ISNUMBER(H61)),H61&lt;=0,NOT(ISNUMBER(I61))),"",I61/H61)</f>
        <v/>
      </c>
      <c r="P61" s="139">
        <f>IF(OR(NOT(ISNUMBER(K61)),K61&lt;=0,NOT(ISNUMBER(J61))),"",J61/K61)</f>
        <v/>
      </c>
      <c r="Q61" s="139">
        <f>IF(OR(NOT(ISNUMBER(M61)),M61&lt;=0,NOT(ISNUMBER(L61))),"",L61/M61)</f>
        <v/>
      </c>
      <c r="R61" s="140">
        <f>IF(OR(NOT(ISNUMBER(I61)),I61&lt;=0,NOT(ISNUMBER(G61))),"",G61/I61)</f>
        <v/>
      </c>
      <c r="S61" s="112" t="n"/>
      <c r="T61" s="112" t="n"/>
      <c r="U61" s="112" t="n"/>
      <c r="V61" s="140">
        <f>IF(OR(NOT(ISNUMBER(E61)),E61&lt;=0,NOT(ISNUMBER(G61))),"",1000*G61/E61)</f>
        <v/>
      </c>
      <c r="W61" s="140">
        <f>IF(OR(NOT(ISNUMBER(F61)),F61&lt;=0,NOT(ISNUMBER(G61))),"",G61/F61)</f>
        <v/>
      </c>
      <c r="X61" s="112" t="n"/>
      <c r="Y61" s="112" t="n"/>
      <c r="Z61" s="139">
        <f>IF(OR(NOT(ISNUMBER(X61)),X61&lt;=0,NOT(ISNUMBER(Y61))),"",Y61/X61)</f>
        <v/>
      </c>
      <c r="AA61" s="140">
        <f>IF(OR(NOT(ISNUMBER(A61)),B61=""),"",IF(B61="LinkedIn",IF(COUNTIFS('03_Chi_tieu'!$A$7:$A$96,A61,'03_Chi_tieu'!$E$7:$E$96,"&gt;=0")=0,"",SUMIF('03_Chi_tieu'!$A$7:$A$96,A61,'03_Chi_tieu'!$E$7:$E$96)),IF(B61="Search",IF(COUNTIFS('03_Chi_tieu'!$A$7:$A$96,A61,'03_Chi_tieu'!$F$7:$F$96,"&gt;=0")=0,"",SUMIF('03_Chi_tieu'!$A$7:$A$96,A61,'03_Chi_tieu'!$F$7:$F$96)),IF(B61="Retargeting",IF(COUNTIFS('03_Chi_tieu'!$A$7:$A$96,A61,'03_Chi_tieu'!$G$7:$G$96,"&gt;=0")=0,"",SUMIF('03_Chi_tieu'!$A$7:$A$96,A61,'03_Chi_tieu'!$G$7:$G$96)),IF(B61="Other",IF(COUNTIFS('03_Chi_tieu'!$A$7:$A$96,A61,'03_Chi_tieu'!$H$7:$H$96,"&gt;=0")=0,"",SUMIF('03_Chi_tieu'!$A$7:$A$96,A61,'03_Chi_tieu'!$H$7:$H$96)),"")))))</f>
        <v/>
      </c>
      <c r="AB61">
        <f>IF(G61="","",IF(NOT(ISNUMBER(G61)),"Chi không hợp lệ",IF(OR(NOT(ISNUMBER(A61)),B61=""),"Thiếu ngày/kênh",IF(COUNTIFS($A$5:$A$104,A61,$B$5:$B$104,B61)&gt;1,"Trùng ngày/kênh",IF(AA61="","Thiếu nguồn hoặc kênh",IF(G61=AA61,"Khớp","Lệch"))))))</f>
        <v/>
      </c>
    </row>
    <row r="62">
      <c r="A62" s="137" t="n"/>
      <c r="B62" s="112" t="n"/>
      <c r="C62" s="112" t="n"/>
      <c r="D62" s="112" t="n"/>
      <c r="E62" s="112" t="n"/>
      <c r="F62" s="112" t="n"/>
      <c r="G62" s="138" t="n"/>
      <c r="H62" s="112" t="n"/>
      <c r="I62" s="112" t="n"/>
      <c r="J62" s="112" t="n"/>
      <c r="K62" s="112" t="n"/>
      <c r="L62" s="112" t="n"/>
      <c r="M62" s="112" t="n"/>
      <c r="N62" s="139">
        <f>IF(OR(NOT(ISNUMBER(E62)),E62&lt;=0,NOT(ISNUMBER(F62))),"",F62/E62)</f>
        <v/>
      </c>
      <c r="O62" s="139">
        <f>IF(OR(NOT(ISNUMBER(H62)),H62&lt;=0,NOT(ISNUMBER(I62))),"",I62/H62)</f>
        <v/>
      </c>
      <c r="P62" s="139">
        <f>IF(OR(NOT(ISNUMBER(K62)),K62&lt;=0,NOT(ISNUMBER(J62))),"",J62/K62)</f>
        <v/>
      </c>
      <c r="Q62" s="139">
        <f>IF(OR(NOT(ISNUMBER(M62)),M62&lt;=0,NOT(ISNUMBER(L62))),"",L62/M62)</f>
        <v/>
      </c>
      <c r="R62" s="140">
        <f>IF(OR(NOT(ISNUMBER(I62)),I62&lt;=0,NOT(ISNUMBER(G62))),"",G62/I62)</f>
        <v/>
      </c>
      <c r="S62" s="112" t="n"/>
      <c r="T62" s="112" t="n"/>
      <c r="U62" s="112" t="n"/>
      <c r="V62" s="140">
        <f>IF(OR(NOT(ISNUMBER(E62)),E62&lt;=0,NOT(ISNUMBER(G62))),"",1000*G62/E62)</f>
        <v/>
      </c>
      <c r="W62" s="140">
        <f>IF(OR(NOT(ISNUMBER(F62)),F62&lt;=0,NOT(ISNUMBER(G62))),"",G62/F62)</f>
        <v/>
      </c>
      <c r="X62" s="112" t="n"/>
      <c r="Y62" s="112" t="n"/>
      <c r="Z62" s="139">
        <f>IF(OR(NOT(ISNUMBER(X62)),X62&lt;=0,NOT(ISNUMBER(Y62))),"",Y62/X62)</f>
        <v/>
      </c>
      <c r="AA62" s="140">
        <f>IF(OR(NOT(ISNUMBER(A62)),B62=""),"",IF(B62="LinkedIn",IF(COUNTIFS('03_Chi_tieu'!$A$7:$A$96,A62,'03_Chi_tieu'!$E$7:$E$96,"&gt;=0")=0,"",SUMIF('03_Chi_tieu'!$A$7:$A$96,A62,'03_Chi_tieu'!$E$7:$E$96)),IF(B62="Search",IF(COUNTIFS('03_Chi_tieu'!$A$7:$A$96,A62,'03_Chi_tieu'!$F$7:$F$96,"&gt;=0")=0,"",SUMIF('03_Chi_tieu'!$A$7:$A$96,A62,'03_Chi_tieu'!$F$7:$F$96)),IF(B62="Retargeting",IF(COUNTIFS('03_Chi_tieu'!$A$7:$A$96,A62,'03_Chi_tieu'!$G$7:$G$96,"&gt;=0")=0,"",SUMIF('03_Chi_tieu'!$A$7:$A$96,A62,'03_Chi_tieu'!$G$7:$G$96)),IF(B62="Other",IF(COUNTIFS('03_Chi_tieu'!$A$7:$A$96,A62,'03_Chi_tieu'!$H$7:$H$96,"&gt;=0")=0,"",SUMIF('03_Chi_tieu'!$A$7:$A$96,A62,'03_Chi_tieu'!$H$7:$H$96)),"")))))</f>
        <v/>
      </c>
      <c r="AB62">
        <f>IF(G62="","",IF(NOT(ISNUMBER(G62)),"Chi không hợp lệ",IF(OR(NOT(ISNUMBER(A62)),B62=""),"Thiếu ngày/kênh",IF(COUNTIFS($A$5:$A$104,A62,$B$5:$B$104,B62)&gt;1,"Trùng ngày/kênh",IF(AA62="","Thiếu nguồn hoặc kênh",IF(G62=AA62,"Khớp","Lệch"))))))</f>
        <v/>
      </c>
    </row>
    <row r="63">
      <c r="A63" s="137" t="n"/>
      <c r="B63" s="112" t="n"/>
      <c r="C63" s="112" t="n"/>
      <c r="D63" s="112" t="n"/>
      <c r="E63" s="112" t="n"/>
      <c r="F63" s="112" t="n"/>
      <c r="G63" s="138" t="n"/>
      <c r="H63" s="112" t="n"/>
      <c r="I63" s="112" t="n"/>
      <c r="J63" s="112" t="n"/>
      <c r="K63" s="112" t="n"/>
      <c r="L63" s="112" t="n"/>
      <c r="M63" s="112" t="n"/>
      <c r="N63" s="139">
        <f>IF(OR(NOT(ISNUMBER(E63)),E63&lt;=0,NOT(ISNUMBER(F63))),"",F63/E63)</f>
        <v/>
      </c>
      <c r="O63" s="139">
        <f>IF(OR(NOT(ISNUMBER(H63)),H63&lt;=0,NOT(ISNUMBER(I63))),"",I63/H63)</f>
        <v/>
      </c>
      <c r="P63" s="139">
        <f>IF(OR(NOT(ISNUMBER(K63)),K63&lt;=0,NOT(ISNUMBER(J63))),"",J63/K63)</f>
        <v/>
      </c>
      <c r="Q63" s="139">
        <f>IF(OR(NOT(ISNUMBER(M63)),M63&lt;=0,NOT(ISNUMBER(L63))),"",L63/M63)</f>
        <v/>
      </c>
      <c r="R63" s="140">
        <f>IF(OR(NOT(ISNUMBER(I63)),I63&lt;=0,NOT(ISNUMBER(G63))),"",G63/I63)</f>
        <v/>
      </c>
      <c r="S63" s="112" t="n"/>
      <c r="T63" s="112" t="n"/>
      <c r="U63" s="112" t="n"/>
      <c r="V63" s="140">
        <f>IF(OR(NOT(ISNUMBER(E63)),E63&lt;=0,NOT(ISNUMBER(G63))),"",1000*G63/E63)</f>
        <v/>
      </c>
      <c r="W63" s="140">
        <f>IF(OR(NOT(ISNUMBER(F63)),F63&lt;=0,NOT(ISNUMBER(G63))),"",G63/F63)</f>
        <v/>
      </c>
      <c r="X63" s="112" t="n"/>
      <c r="Y63" s="112" t="n"/>
      <c r="Z63" s="139">
        <f>IF(OR(NOT(ISNUMBER(X63)),X63&lt;=0,NOT(ISNUMBER(Y63))),"",Y63/X63)</f>
        <v/>
      </c>
      <c r="AA63" s="140">
        <f>IF(OR(NOT(ISNUMBER(A63)),B63=""),"",IF(B63="LinkedIn",IF(COUNTIFS('03_Chi_tieu'!$A$7:$A$96,A63,'03_Chi_tieu'!$E$7:$E$96,"&gt;=0")=0,"",SUMIF('03_Chi_tieu'!$A$7:$A$96,A63,'03_Chi_tieu'!$E$7:$E$96)),IF(B63="Search",IF(COUNTIFS('03_Chi_tieu'!$A$7:$A$96,A63,'03_Chi_tieu'!$F$7:$F$96,"&gt;=0")=0,"",SUMIF('03_Chi_tieu'!$A$7:$A$96,A63,'03_Chi_tieu'!$F$7:$F$96)),IF(B63="Retargeting",IF(COUNTIFS('03_Chi_tieu'!$A$7:$A$96,A63,'03_Chi_tieu'!$G$7:$G$96,"&gt;=0")=0,"",SUMIF('03_Chi_tieu'!$A$7:$A$96,A63,'03_Chi_tieu'!$G$7:$G$96)),IF(B63="Other",IF(COUNTIFS('03_Chi_tieu'!$A$7:$A$96,A63,'03_Chi_tieu'!$H$7:$H$96,"&gt;=0")=0,"",SUMIF('03_Chi_tieu'!$A$7:$A$96,A63,'03_Chi_tieu'!$H$7:$H$96)),"")))))</f>
        <v/>
      </c>
      <c r="AB63">
        <f>IF(G63="","",IF(NOT(ISNUMBER(G63)),"Chi không hợp lệ",IF(OR(NOT(ISNUMBER(A63)),B63=""),"Thiếu ngày/kênh",IF(COUNTIFS($A$5:$A$104,A63,$B$5:$B$104,B63)&gt;1,"Trùng ngày/kênh",IF(AA63="","Thiếu nguồn hoặc kênh",IF(G63=AA63,"Khớp","Lệch"))))))</f>
        <v/>
      </c>
    </row>
    <row r="64">
      <c r="A64" s="137" t="n"/>
      <c r="B64" s="112" t="n"/>
      <c r="C64" s="112" t="n"/>
      <c r="D64" s="112" t="n"/>
      <c r="E64" s="112" t="n"/>
      <c r="F64" s="112" t="n"/>
      <c r="G64" s="138" t="n"/>
      <c r="H64" s="112" t="n"/>
      <c r="I64" s="112" t="n"/>
      <c r="J64" s="112" t="n"/>
      <c r="K64" s="112" t="n"/>
      <c r="L64" s="112" t="n"/>
      <c r="M64" s="112" t="n"/>
      <c r="N64" s="139">
        <f>IF(OR(NOT(ISNUMBER(E64)),E64&lt;=0,NOT(ISNUMBER(F64))),"",F64/E64)</f>
        <v/>
      </c>
      <c r="O64" s="139">
        <f>IF(OR(NOT(ISNUMBER(H64)),H64&lt;=0,NOT(ISNUMBER(I64))),"",I64/H64)</f>
        <v/>
      </c>
      <c r="P64" s="139">
        <f>IF(OR(NOT(ISNUMBER(K64)),K64&lt;=0,NOT(ISNUMBER(J64))),"",J64/K64)</f>
        <v/>
      </c>
      <c r="Q64" s="139">
        <f>IF(OR(NOT(ISNUMBER(M64)),M64&lt;=0,NOT(ISNUMBER(L64))),"",L64/M64)</f>
        <v/>
      </c>
      <c r="R64" s="140">
        <f>IF(OR(NOT(ISNUMBER(I64)),I64&lt;=0,NOT(ISNUMBER(G64))),"",G64/I64)</f>
        <v/>
      </c>
      <c r="S64" s="112" t="n"/>
      <c r="T64" s="112" t="n"/>
      <c r="U64" s="112" t="n"/>
      <c r="V64" s="140">
        <f>IF(OR(NOT(ISNUMBER(E64)),E64&lt;=0,NOT(ISNUMBER(G64))),"",1000*G64/E64)</f>
        <v/>
      </c>
      <c r="W64" s="140">
        <f>IF(OR(NOT(ISNUMBER(F64)),F64&lt;=0,NOT(ISNUMBER(G64))),"",G64/F64)</f>
        <v/>
      </c>
      <c r="X64" s="112" t="n"/>
      <c r="Y64" s="112" t="n"/>
      <c r="Z64" s="139">
        <f>IF(OR(NOT(ISNUMBER(X64)),X64&lt;=0,NOT(ISNUMBER(Y64))),"",Y64/X64)</f>
        <v/>
      </c>
      <c r="AA64" s="140">
        <f>IF(OR(NOT(ISNUMBER(A64)),B64=""),"",IF(B64="LinkedIn",IF(COUNTIFS('03_Chi_tieu'!$A$7:$A$96,A64,'03_Chi_tieu'!$E$7:$E$96,"&gt;=0")=0,"",SUMIF('03_Chi_tieu'!$A$7:$A$96,A64,'03_Chi_tieu'!$E$7:$E$96)),IF(B64="Search",IF(COUNTIFS('03_Chi_tieu'!$A$7:$A$96,A64,'03_Chi_tieu'!$F$7:$F$96,"&gt;=0")=0,"",SUMIF('03_Chi_tieu'!$A$7:$A$96,A64,'03_Chi_tieu'!$F$7:$F$96)),IF(B64="Retargeting",IF(COUNTIFS('03_Chi_tieu'!$A$7:$A$96,A64,'03_Chi_tieu'!$G$7:$G$96,"&gt;=0")=0,"",SUMIF('03_Chi_tieu'!$A$7:$A$96,A64,'03_Chi_tieu'!$G$7:$G$96)),IF(B64="Other",IF(COUNTIFS('03_Chi_tieu'!$A$7:$A$96,A64,'03_Chi_tieu'!$H$7:$H$96,"&gt;=0")=0,"",SUMIF('03_Chi_tieu'!$A$7:$A$96,A64,'03_Chi_tieu'!$H$7:$H$96)),"")))))</f>
        <v/>
      </c>
      <c r="AB64">
        <f>IF(G64="","",IF(NOT(ISNUMBER(G64)),"Chi không hợp lệ",IF(OR(NOT(ISNUMBER(A64)),B64=""),"Thiếu ngày/kênh",IF(COUNTIFS($A$5:$A$104,A64,$B$5:$B$104,B64)&gt;1,"Trùng ngày/kênh",IF(AA64="","Thiếu nguồn hoặc kênh",IF(G64=AA64,"Khớp","Lệch"))))))</f>
        <v/>
      </c>
    </row>
    <row r="65">
      <c r="A65" s="137" t="n"/>
      <c r="B65" s="112" t="n"/>
      <c r="C65" s="112" t="n"/>
      <c r="D65" s="112" t="n"/>
      <c r="E65" s="112" t="n"/>
      <c r="F65" s="112" t="n"/>
      <c r="G65" s="138" t="n"/>
      <c r="H65" s="112" t="n"/>
      <c r="I65" s="112" t="n"/>
      <c r="J65" s="112" t="n"/>
      <c r="K65" s="112" t="n"/>
      <c r="L65" s="112" t="n"/>
      <c r="M65" s="112" t="n"/>
      <c r="N65" s="139">
        <f>IF(OR(NOT(ISNUMBER(E65)),E65&lt;=0,NOT(ISNUMBER(F65))),"",F65/E65)</f>
        <v/>
      </c>
      <c r="O65" s="139">
        <f>IF(OR(NOT(ISNUMBER(H65)),H65&lt;=0,NOT(ISNUMBER(I65))),"",I65/H65)</f>
        <v/>
      </c>
      <c r="P65" s="139">
        <f>IF(OR(NOT(ISNUMBER(K65)),K65&lt;=0,NOT(ISNUMBER(J65))),"",J65/K65)</f>
        <v/>
      </c>
      <c r="Q65" s="139">
        <f>IF(OR(NOT(ISNUMBER(M65)),M65&lt;=0,NOT(ISNUMBER(L65))),"",L65/M65)</f>
        <v/>
      </c>
      <c r="R65" s="140">
        <f>IF(OR(NOT(ISNUMBER(I65)),I65&lt;=0,NOT(ISNUMBER(G65))),"",G65/I65)</f>
        <v/>
      </c>
      <c r="S65" s="112" t="n"/>
      <c r="T65" s="112" t="n"/>
      <c r="U65" s="112" t="n"/>
      <c r="V65" s="140">
        <f>IF(OR(NOT(ISNUMBER(E65)),E65&lt;=0,NOT(ISNUMBER(G65))),"",1000*G65/E65)</f>
        <v/>
      </c>
      <c r="W65" s="140">
        <f>IF(OR(NOT(ISNUMBER(F65)),F65&lt;=0,NOT(ISNUMBER(G65))),"",G65/F65)</f>
        <v/>
      </c>
      <c r="X65" s="112" t="n"/>
      <c r="Y65" s="112" t="n"/>
      <c r="Z65" s="139">
        <f>IF(OR(NOT(ISNUMBER(X65)),X65&lt;=0,NOT(ISNUMBER(Y65))),"",Y65/X65)</f>
        <v/>
      </c>
      <c r="AA65" s="140">
        <f>IF(OR(NOT(ISNUMBER(A65)),B65=""),"",IF(B65="LinkedIn",IF(COUNTIFS('03_Chi_tieu'!$A$7:$A$96,A65,'03_Chi_tieu'!$E$7:$E$96,"&gt;=0")=0,"",SUMIF('03_Chi_tieu'!$A$7:$A$96,A65,'03_Chi_tieu'!$E$7:$E$96)),IF(B65="Search",IF(COUNTIFS('03_Chi_tieu'!$A$7:$A$96,A65,'03_Chi_tieu'!$F$7:$F$96,"&gt;=0")=0,"",SUMIF('03_Chi_tieu'!$A$7:$A$96,A65,'03_Chi_tieu'!$F$7:$F$96)),IF(B65="Retargeting",IF(COUNTIFS('03_Chi_tieu'!$A$7:$A$96,A65,'03_Chi_tieu'!$G$7:$G$96,"&gt;=0")=0,"",SUMIF('03_Chi_tieu'!$A$7:$A$96,A65,'03_Chi_tieu'!$G$7:$G$96)),IF(B65="Other",IF(COUNTIFS('03_Chi_tieu'!$A$7:$A$96,A65,'03_Chi_tieu'!$H$7:$H$96,"&gt;=0")=0,"",SUMIF('03_Chi_tieu'!$A$7:$A$96,A65,'03_Chi_tieu'!$H$7:$H$96)),"")))))</f>
        <v/>
      </c>
      <c r="AB65">
        <f>IF(G65="","",IF(NOT(ISNUMBER(G65)),"Chi không hợp lệ",IF(OR(NOT(ISNUMBER(A65)),B65=""),"Thiếu ngày/kênh",IF(COUNTIFS($A$5:$A$104,A65,$B$5:$B$104,B65)&gt;1,"Trùng ngày/kênh",IF(AA65="","Thiếu nguồn hoặc kênh",IF(G65=AA65,"Khớp","Lệch"))))))</f>
        <v/>
      </c>
    </row>
    <row r="66">
      <c r="A66" s="137" t="n"/>
      <c r="B66" s="112" t="n"/>
      <c r="C66" s="112" t="n"/>
      <c r="D66" s="112" t="n"/>
      <c r="E66" s="112" t="n"/>
      <c r="F66" s="112" t="n"/>
      <c r="G66" s="138" t="n"/>
      <c r="H66" s="112" t="n"/>
      <c r="I66" s="112" t="n"/>
      <c r="J66" s="112" t="n"/>
      <c r="K66" s="112" t="n"/>
      <c r="L66" s="112" t="n"/>
      <c r="M66" s="112" t="n"/>
      <c r="N66" s="139">
        <f>IF(OR(NOT(ISNUMBER(E66)),E66&lt;=0,NOT(ISNUMBER(F66))),"",F66/E66)</f>
        <v/>
      </c>
      <c r="O66" s="139">
        <f>IF(OR(NOT(ISNUMBER(H66)),H66&lt;=0,NOT(ISNUMBER(I66))),"",I66/H66)</f>
        <v/>
      </c>
      <c r="P66" s="139">
        <f>IF(OR(NOT(ISNUMBER(K66)),K66&lt;=0,NOT(ISNUMBER(J66))),"",J66/K66)</f>
        <v/>
      </c>
      <c r="Q66" s="139">
        <f>IF(OR(NOT(ISNUMBER(M66)),M66&lt;=0,NOT(ISNUMBER(L66))),"",L66/M66)</f>
        <v/>
      </c>
      <c r="R66" s="140">
        <f>IF(OR(NOT(ISNUMBER(I66)),I66&lt;=0,NOT(ISNUMBER(G66))),"",G66/I66)</f>
        <v/>
      </c>
      <c r="S66" s="112" t="n"/>
      <c r="T66" s="112" t="n"/>
      <c r="U66" s="112" t="n"/>
      <c r="V66" s="140">
        <f>IF(OR(NOT(ISNUMBER(E66)),E66&lt;=0,NOT(ISNUMBER(G66))),"",1000*G66/E66)</f>
        <v/>
      </c>
      <c r="W66" s="140">
        <f>IF(OR(NOT(ISNUMBER(F66)),F66&lt;=0,NOT(ISNUMBER(G66))),"",G66/F66)</f>
        <v/>
      </c>
      <c r="X66" s="112" t="n"/>
      <c r="Y66" s="112" t="n"/>
      <c r="Z66" s="139">
        <f>IF(OR(NOT(ISNUMBER(X66)),X66&lt;=0,NOT(ISNUMBER(Y66))),"",Y66/X66)</f>
        <v/>
      </c>
      <c r="AA66" s="140">
        <f>IF(OR(NOT(ISNUMBER(A66)),B66=""),"",IF(B66="LinkedIn",IF(COUNTIFS('03_Chi_tieu'!$A$7:$A$96,A66,'03_Chi_tieu'!$E$7:$E$96,"&gt;=0")=0,"",SUMIF('03_Chi_tieu'!$A$7:$A$96,A66,'03_Chi_tieu'!$E$7:$E$96)),IF(B66="Search",IF(COUNTIFS('03_Chi_tieu'!$A$7:$A$96,A66,'03_Chi_tieu'!$F$7:$F$96,"&gt;=0")=0,"",SUMIF('03_Chi_tieu'!$A$7:$A$96,A66,'03_Chi_tieu'!$F$7:$F$96)),IF(B66="Retargeting",IF(COUNTIFS('03_Chi_tieu'!$A$7:$A$96,A66,'03_Chi_tieu'!$G$7:$G$96,"&gt;=0")=0,"",SUMIF('03_Chi_tieu'!$A$7:$A$96,A66,'03_Chi_tieu'!$G$7:$G$96)),IF(B66="Other",IF(COUNTIFS('03_Chi_tieu'!$A$7:$A$96,A66,'03_Chi_tieu'!$H$7:$H$96,"&gt;=0")=0,"",SUMIF('03_Chi_tieu'!$A$7:$A$96,A66,'03_Chi_tieu'!$H$7:$H$96)),"")))))</f>
        <v/>
      </c>
      <c r="AB66">
        <f>IF(G66="","",IF(NOT(ISNUMBER(G66)),"Chi không hợp lệ",IF(OR(NOT(ISNUMBER(A66)),B66=""),"Thiếu ngày/kênh",IF(COUNTIFS($A$5:$A$104,A66,$B$5:$B$104,B66)&gt;1,"Trùng ngày/kênh",IF(AA66="","Thiếu nguồn hoặc kênh",IF(G66=AA66,"Khớp","Lệch"))))))</f>
        <v/>
      </c>
    </row>
    <row r="67">
      <c r="A67" s="137" t="n"/>
      <c r="B67" s="112" t="n"/>
      <c r="C67" s="112" t="n"/>
      <c r="D67" s="112" t="n"/>
      <c r="E67" s="112" t="n"/>
      <c r="F67" s="112" t="n"/>
      <c r="G67" s="138" t="n"/>
      <c r="H67" s="112" t="n"/>
      <c r="I67" s="112" t="n"/>
      <c r="J67" s="112" t="n"/>
      <c r="K67" s="112" t="n"/>
      <c r="L67" s="112" t="n"/>
      <c r="M67" s="112" t="n"/>
      <c r="N67" s="139">
        <f>IF(OR(NOT(ISNUMBER(E67)),E67&lt;=0,NOT(ISNUMBER(F67))),"",F67/E67)</f>
        <v/>
      </c>
      <c r="O67" s="139">
        <f>IF(OR(NOT(ISNUMBER(H67)),H67&lt;=0,NOT(ISNUMBER(I67))),"",I67/H67)</f>
        <v/>
      </c>
      <c r="P67" s="139">
        <f>IF(OR(NOT(ISNUMBER(K67)),K67&lt;=0,NOT(ISNUMBER(J67))),"",J67/K67)</f>
        <v/>
      </c>
      <c r="Q67" s="139">
        <f>IF(OR(NOT(ISNUMBER(M67)),M67&lt;=0,NOT(ISNUMBER(L67))),"",L67/M67)</f>
        <v/>
      </c>
      <c r="R67" s="140">
        <f>IF(OR(NOT(ISNUMBER(I67)),I67&lt;=0,NOT(ISNUMBER(G67))),"",G67/I67)</f>
        <v/>
      </c>
      <c r="S67" s="112" t="n"/>
      <c r="T67" s="112" t="n"/>
      <c r="U67" s="112" t="n"/>
      <c r="V67" s="140">
        <f>IF(OR(NOT(ISNUMBER(E67)),E67&lt;=0,NOT(ISNUMBER(G67))),"",1000*G67/E67)</f>
        <v/>
      </c>
      <c r="W67" s="140">
        <f>IF(OR(NOT(ISNUMBER(F67)),F67&lt;=0,NOT(ISNUMBER(G67))),"",G67/F67)</f>
        <v/>
      </c>
      <c r="X67" s="112" t="n"/>
      <c r="Y67" s="112" t="n"/>
      <c r="Z67" s="139">
        <f>IF(OR(NOT(ISNUMBER(X67)),X67&lt;=0,NOT(ISNUMBER(Y67))),"",Y67/X67)</f>
        <v/>
      </c>
      <c r="AA67" s="140">
        <f>IF(OR(NOT(ISNUMBER(A67)),B67=""),"",IF(B67="LinkedIn",IF(COUNTIFS('03_Chi_tieu'!$A$7:$A$96,A67,'03_Chi_tieu'!$E$7:$E$96,"&gt;=0")=0,"",SUMIF('03_Chi_tieu'!$A$7:$A$96,A67,'03_Chi_tieu'!$E$7:$E$96)),IF(B67="Search",IF(COUNTIFS('03_Chi_tieu'!$A$7:$A$96,A67,'03_Chi_tieu'!$F$7:$F$96,"&gt;=0")=0,"",SUMIF('03_Chi_tieu'!$A$7:$A$96,A67,'03_Chi_tieu'!$F$7:$F$96)),IF(B67="Retargeting",IF(COUNTIFS('03_Chi_tieu'!$A$7:$A$96,A67,'03_Chi_tieu'!$G$7:$G$96,"&gt;=0")=0,"",SUMIF('03_Chi_tieu'!$A$7:$A$96,A67,'03_Chi_tieu'!$G$7:$G$96)),IF(B67="Other",IF(COUNTIFS('03_Chi_tieu'!$A$7:$A$96,A67,'03_Chi_tieu'!$H$7:$H$96,"&gt;=0")=0,"",SUMIF('03_Chi_tieu'!$A$7:$A$96,A67,'03_Chi_tieu'!$H$7:$H$96)),"")))))</f>
        <v/>
      </c>
      <c r="AB67">
        <f>IF(G67="","",IF(NOT(ISNUMBER(G67)),"Chi không hợp lệ",IF(OR(NOT(ISNUMBER(A67)),B67=""),"Thiếu ngày/kênh",IF(COUNTIFS($A$5:$A$104,A67,$B$5:$B$104,B67)&gt;1,"Trùng ngày/kênh",IF(AA67="","Thiếu nguồn hoặc kênh",IF(G67=AA67,"Khớp","Lệch"))))))</f>
        <v/>
      </c>
    </row>
    <row r="68">
      <c r="A68" s="137" t="n"/>
      <c r="B68" s="112" t="n"/>
      <c r="C68" s="112" t="n"/>
      <c r="D68" s="112" t="n"/>
      <c r="E68" s="112" t="n"/>
      <c r="F68" s="112" t="n"/>
      <c r="G68" s="138" t="n"/>
      <c r="H68" s="112" t="n"/>
      <c r="I68" s="112" t="n"/>
      <c r="J68" s="112" t="n"/>
      <c r="K68" s="112" t="n"/>
      <c r="L68" s="112" t="n"/>
      <c r="M68" s="112" t="n"/>
      <c r="N68" s="139">
        <f>IF(OR(NOT(ISNUMBER(E68)),E68&lt;=0,NOT(ISNUMBER(F68))),"",F68/E68)</f>
        <v/>
      </c>
      <c r="O68" s="139">
        <f>IF(OR(NOT(ISNUMBER(H68)),H68&lt;=0,NOT(ISNUMBER(I68))),"",I68/H68)</f>
        <v/>
      </c>
      <c r="P68" s="139">
        <f>IF(OR(NOT(ISNUMBER(K68)),K68&lt;=0,NOT(ISNUMBER(J68))),"",J68/K68)</f>
        <v/>
      </c>
      <c r="Q68" s="139">
        <f>IF(OR(NOT(ISNUMBER(M68)),M68&lt;=0,NOT(ISNUMBER(L68))),"",L68/M68)</f>
        <v/>
      </c>
      <c r="R68" s="140">
        <f>IF(OR(NOT(ISNUMBER(I68)),I68&lt;=0,NOT(ISNUMBER(G68))),"",G68/I68)</f>
        <v/>
      </c>
      <c r="S68" s="112" t="n"/>
      <c r="T68" s="112" t="n"/>
      <c r="U68" s="112" t="n"/>
      <c r="V68" s="140">
        <f>IF(OR(NOT(ISNUMBER(E68)),E68&lt;=0,NOT(ISNUMBER(G68))),"",1000*G68/E68)</f>
        <v/>
      </c>
      <c r="W68" s="140">
        <f>IF(OR(NOT(ISNUMBER(F68)),F68&lt;=0,NOT(ISNUMBER(G68))),"",G68/F68)</f>
        <v/>
      </c>
      <c r="X68" s="112" t="n"/>
      <c r="Y68" s="112" t="n"/>
      <c r="Z68" s="139">
        <f>IF(OR(NOT(ISNUMBER(X68)),X68&lt;=0,NOT(ISNUMBER(Y68))),"",Y68/X68)</f>
        <v/>
      </c>
      <c r="AA68" s="140">
        <f>IF(OR(NOT(ISNUMBER(A68)),B68=""),"",IF(B68="LinkedIn",IF(COUNTIFS('03_Chi_tieu'!$A$7:$A$96,A68,'03_Chi_tieu'!$E$7:$E$96,"&gt;=0")=0,"",SUMIF('03_Chi_tieu'!$A$7:$A$96,A68,'03_Chi_tieu'!$E$7:$E$96)),IF(B68="Search",IF(COUNTIFS('03_Chi_tieu'!$A$7:$A$96,A68,'03_Chi_tieu'!$F$7:$F$96,"&gt;=0")=0,"",SUMIF('03_Chi_tieu'!$A$7:$A$96,A68,'03_Chi_tieu'!$F$7:$F$96)),IF(B68="Retargeting",IF(COUNTIFS('03_Chi_tieu'!$A$7:$A$96,A68,'03_Chi_tieu'!$G$7:$G$96,"&gt;=0")=0,"",SUMIF('03_Chi_tieu'!$A$7:$A$96,A68,'03_Chi_tieu'!$G$7:$G$96)),IF(B68="Other",IF(COUNTIFS('03_Chi_tieu'!$A$7:$A$96,A68,'03_Chi_tieu'!$H$7:$H$96,"&gt;=0")=0,"",SUMIF('03_Chi_tieu'!$A$7:$A$96,A68,'03_Chi_tieu'!$H$7:$H$96)),"")))))</f>
        <v/>
      </c>
      <c r="AB68">
        <f>IF(G68="","",IF(NOT(ISNUMBER(G68)),"Chi không hợp lệ",IF(OR(NOT(ISNUMBER(A68)),B68=""),"Thiếu ngày/kênh",IF(COUNTIFS($A$5:$A$104,A68,$B$5:$B$104,B68)&gt;1,"Trùng ngày/kênh",IF(AA68="","Thiếu nguồn hoặc kênh",IF(G68=AA68,"Khớp","Lệch"))))))</f>
        <v/>
      </c>
    </row>
    <row r="69">
      <c r="A69" s="137" t="n"/>
      <c r="B69" s="112" t="n"/>
      <c r="C69" s="112" t="n"/>
      <c r="D69" s="112" t="n"/>
      <c r="E69" s="112" t="n"/>
      <c r="F69" s="112" t="n"/>
      <c r="G69" s="138" t="n"/>
      <c r="H69" s="112" t="n"/>
      <c r="I69" s="112" t="n"/>
      <c r="J69" s="112" t="n"/>
      <c r="K69" s="112" t="n"/>
      <c r="L69" s="112" t="n"/>
      <c r="M69" s="112" t="n"/>
      <c r="N69" s="139">
        <f>IF(OR(NOT(ISNUMBER(E69)),E69&lt;=0,NOT(ISNUMBER(F69))),"",F69/E69)</f>
        <v/>
      </c>
      <c r="O69" s="139">
        <f>IF(OR(NOT(ISNUMBER(H69)),H69&lt;=0,NOT(ISNUMBER(I69))),"",I69/H69)</f>
        <v/>
      </c>
      <c r="P69" s="139">
        <f>IF(OR(NOT(ISNUMBER(K69)),K69&lt;=0,NOT(ISNUMBER(J69))),"",J69/K69)</f>
        <v/>
      </c>
      <c r="Q69" s="139">
        <f>IF(OR(NOT(ISNUMBER(M69)),M69&lt;=0,NOT(ISNUMBER(L69))),"",L69/M69)</f>
        <v/>
      </c>
      <c r="R69" s="140">
        <f>IF(OR(NOT(ISNUMBER(I69)),I69&lt;=0,NOT(ISNUMBER(G69))),"",G69/I69)</f>
        <v/>
      </c>
      <c r="S69" s="112" t="n"/>
      <c r="T69" s="112" t="n"/>
      <c r="U69" s="112" t="n"/>
      <c r="V69" s="140">
        <f>IF(OR(NOT(ISNUMBER(E69)),E69&lt;=0,NOT(ISNUMBER(G69))),"",1000*G69/E69)</f>
        <v/>
      </c>
      <c r="W69" s="140">
        <f>IF(OR(NOT(ISNUMBER(F69)),F69&lt;=0,NOT(ISNUMBER(G69))),"",G69/F69)</f>
        <v/>
      </c>
      <c r="X69" s="112" t="n"/>
      <c r="Y69" s="112" t="n"/>
      <c r="Z69" s="139">
        <f>IF(OR(NOT(ISNUMBER(X69)),X69&lt;=0,NOT(ISNUMBER(Y69))),"",Y69/X69)</f>
        <v/>
      </c>
      <c r="AA69" s="140">
        <f>IF(OR(NOT(ISNUMBER(A69)),B69=""),"",IF(B69="LinkedIn",IF(COUNTIFS('03_Chi_tieu'!$A$7:$A$96,A69,'03_Chi_tieu'!$E$7:$E$96,"&gt;=0")=0,"",SUMIF('03_Chi_tieu'!$A$7:$A$96,A69,'03_Chi_tieu'!$E$7:$E$96)),IF(B69="Search",IF(COUNTIFS('03_Chi_tieu'!$A$7:$A$96,A69,'03_Chi_tieu'!$F$7:$F$96,"&gt;=0")=0,"",SUMIF('03_Chi_tieu'!$A$7:$A$96,A69,'03_Chi_tieu'!$F$7:$F$96)),IF(B69="Retargeting",IF(COUNTIFS('03_Chi_tieu'!$A$7:$A$96,A69,'03_Chi_tieu'!$G$7:$G$96,"&gt;=0")=0,"",SUMIF('03_Chi_tieu'!$A$7:$A$96,A69,'03_Chi_tieu'!$G$7:$G$96)),IF(B69="Other",IF(COUNTIFS('03_Chi_tieu'!$A$7:$A$96,A69,'03_Chi_tieu'!$H$7:$H$96,"&gt;=0")=0,"",SUMIF('03_Chi_tieu'!$A$7:$A$96,A69,'03_Chi_tieu'!$H$7:$H$96)),"")))))</f>
        <v/>
      </c>
      <c r="AB69">
        <f>IF(G69="","",IF(NOT(ISNUMBER(G69)),"Chi không hợp lệ",IF(OR(NOT(ISNUMBER(A69)),B69=""),"Thiếu ngày/kênh",IF(COUNTIFS($A$5:$A$104,A69,$B$5:$B$104,B69)&gt;1,"Trùng ngày/kênh",IF(AA69="","Thiếu nguồn hoặc kênh",IF(G69=AA69,"Khớp","Lệch"))))))</f>
        <v/>
      </c>
    </row>
    <row r="70">
      <c r="A70" s="137" t="n"/>
      <c r="B70" s="112" t="n"/>
      <c r="C70" s="112" t="n"/>
      <c r="D70" s="112" t="n"/>
      <c r="E70" s="112" t="n"/>
      <c r="F70" s="112" t="n"/>
      <c r="G70" s="138" t="n"/>
      <c r="H70" s="112" t="n"/>
      <c r="I70" s="112" t="n"/>
      <c r="J70" s="112" t="n"/>
      <c r="K70" s="112" t="n"/>
      <c r="L70" s="112" t="n"/>
      <c r="M70" s="112" t="n"/>
      <c r="N70" s="139">
        <f>IF(OR(NOT(ISNUMBER(E70)),E70&lt;=0,NOT(ISNUMBER(F70))),"",F70/E70)</f>
        <v/>
      </c>
      <c r="O70" s="139">
        <f>IF(OR(NOT(ISNUMBER(H70)),H70&lt;=0,NOT(ISNUMBER(I70))),"",I70/H70)</f>
        <v/>
      </c>
      <c r="P70" s="139">
        <f>IF(OR(NOT(ISNUMBER(K70)),K70&lt;=0,NOT(ISNUMBER(J70))),"",J70/K70)</f>
        <v/>
      </c>
      <c r="Q70" s="139">
        <f>IF(OR(NOT(ISNUMBER(M70)),M70&lt;=0,NOT(ISNUMBER(L70))),"",L70/M70)</f>
        <v/>
      </c>
      <c r="R70" s="140">
        <f>IF(OR(NOT(ISNUMBER(I70)),I70&lt;=0,NOT(ISNUMBER(G70))),"",G70/I70)</f>
        <v/>
      </c>
      <c r="S70" s="112" t="n"/>
      <c r="T70" s="112" t="n"/>
      <c r="U70" s="112" t="n"/>
      <c r="V70" s="140">
        <f>IF(OR(NOT(ISNUMBER(E70)),E70&lt;=0,NOT(ISNUMBER(G70))),"",1000*G70/E70)</f>
        <v/>
      </c>
      <c r="W70" s="140">
        <f>IF(OR(NOT(ISNUMBER(F70)),F70&lt;=0,NOT(ISNUMBER(G70))),"",G70/F70)</f>
        <v/>
      </c>
      <c r="X70" s="112" t="n"/>
      <c r="Y70" s="112" t="n"/>
      <c r="Z70" s="139">
        <f>IF(OR(NOT(ISNUMBER(X70)),X70&lt;=0,NOT(ISNUMBER(Y70))),"",Y70/X70)</f>
        <v/>
      </c>
      <c r="AA70" s="140">
        <f>IF(OR(NOT(ISNUMBER(A70)),B70=""),"",IF(B70="LinkedIn",IF(COUNTIFS('03_Chi_tieu'!$A$7:$A$96,A70,'03_Chi_tieu'!$E$7:$E$96,"&gt;=0")=0,"",SUMIF('03_Chi_tieu'!$A$7:$A$96,A70,'03_Chi_tieu'!$E$7:$E$96)),IF(B70="Search",IF(COUNTIFS('03_Chi_tieu'!$A$7:$A$96,A70,'03_Chi_tieu'!$F$7:$F$96,"&gt;=0")=0,"",SUMIF('03_Chi_tieu'!$A$7:$A$96,A70,'03_Chi_tieu'!$F$7:$F$96)),IF(B70="Retargeting",IF(COUNTIFS('03_Chi_tieu'!$A$7:$A$96,A70,'03_Chi_tieu'!$G$7:$G$96,"&gt;=0")=0,"",SUMIF('03_Chi_tieu'!$A$7:$A$96,A70,'03_Chi_tieu'!$G$7:$G$96)),IF(B70="Other",IF(COUNTIFS('03_Chi_tieu'!$A$7:$A$96,A70,'03_Chi_tieu'!$H$7:$H$96,"&gt;=0")=0,"",SUMIF('03_Chi_tieu'!$A$7:$A$96,A70,'03_Chi_tieu'!$H$7:$H$96)),"")))))</f>
        <v/>
      </c>
      <c r="AB70">
        <f>IF(G70="","",IF(NOT(ISNUMBER(G70)),"Chi không hợp lệ",IF(OR(NOT(ISNUMBER(A70)),B70=""),"Thiếu ngày/kênh",IF(COUNTIFS($A$5:$A$104,A70,$B$5:$B$104,B70)&gt;1,"Trùng ngày/kênh",IF(AA70="","Thiếu nguồn hoặc kênh",IF(G70=AA70,"Khớp","Lệch"))))))</f>
        <v/>
      </c>
    </row>
    <row r="71">
      <c r="A71" s="137" t="n"/>
      <c r="B71" s="112" t="n"/>
      <c r="C71" s="112" t="n"/>
      <c r="D71" s="112" t="n"/>
      <c r="E71" s="112" t="n"/>
      <c r="F71" s="112" t="n"/>
      <c r="G71" s="138" t="n"/>
      <c r="H71" s="112" t="n"/>
      <c r="I71" s="112" t="n"/>
      <c r="J71" s="112" t="n"/>
      <c r="K71" s="112" t="n"/>
      <c r="L71" s="112" t="n"/>
      <c r="M71" s="112" t="n"/>
      <c r="N71" s="139">
        <f>IF(OR(NOT(ISNUMBER(E71)),E71&lt;=0,NOT(ISNUMBER(F71))),"",F71/E71)</f>
        <v/>
      </c>
      <c r="O71" s="139">
        <f>IF(OR(NOT(ISNUMBER(H71)),H71&lt;=0,NOT(ISNUMBER(I71))),"",I71/H71)</f>
        <v/>
      </c>
      <c r="P71" s="139">
        <f>IF(OR(NOT(ISNUMBER(K71)),K71&lt;=0,NOT(ISNUMBER(J71))),"",J71/K71)</f>
        <v/>
      </c>
      <c r="Q71" s="139">
        <f>IF(OR(NOT(ISNUMBER(M71)),M71&lt;=0,NOT(ISNUMBER(L71))),"",L71/M71)</f>
        <v/>
      </c>
      <c r="R71" s="140">
        <f>IF(OR(NOT(ISNUMBER(I71)),I71&lt;=0,NOT(ISNUMBER(G71))),"",G71/I71)</f>
        <v/>
      </c>
      <c r="S71" s="112" t="n"/>
      <c r="T71" s="112" t="n"/>
      <c r="U71" s="112" t="n"/>
      <c r="V71" s="140">
        <f>IF(OR(NOT(ISNUMBER(E71)),E71&lt;=0,NOT(ISNUMBER(G71))),"",1000*G71/E71)</f>
        <v/>
      </c>
      <c r="W71" s="140">
        <f>IF(OR(NOT(ISNUMBER(F71)),F71&lt;=0,NOT(ISNUMBER(G71))),"",G71/F71)</f>
        <v/>
      </c>
      <c r="X71" s="112" t="n"/>
      <c r="Y71" s="112" t="n"/>
      <c r="Z71" s="139">
        <f>IF(OR(NOT(ISNUMBER(X71)),X71&lt;=0,NOT(ISNUMBER(Y71))),"",Y71/X71)</f>
        <v/>
      </c>
      <c r="AA71" s="140">
        <f>IF(OR(NOT(ISNUMBER(A71)),B71=""),"",IF(B71="LinkedIn",IF(COUNTIFS('03_Chi_tieu'!$A$7:$A$96,A71,'03_Chi_tieu'!$E$7:$E$96,"&gt;=0")=0,"",SUMIF('03_Chi_tieu'!$A$7:$A$96,A71,'03_Chi_tieu'!$E$7:$E$96)),IF(B71="Search",IF(COUNTIFS('03_Chi_tieu'!$A$7:$A$96,A71,'03_Chi_tieu'!$F$7:$F$96,"&gt;=0")=0,"",SUMIF('03_Chi_tieu'!$A$7:$A$96,A71,'03_Chi_tieu'!$F$7:$F$96)),IF(B71="Retargeting",IF(COUNTIFS('03_Chi_tieu'!$A$7:$A$96,A71,'03_Chi_tieu'!$G$7:$G$96,"&gt;=0")=0,"",SUMIF('03_Chi_tieu'!$A$7:$A$96,A71,'03_Chi_tieu'!$G$7:$G$96)),IF(B71="Other",IF(COUNTIFS('03_Chi_tieu'!$A$7:$A$96,A71,'03_Chi_tieu'!$H$7:$H$96,"&gt;=0")=0,"",SUMIF('03_Chi_tieu'!$A$7:$A$96,A71,'03_Chi_tieu'!$H$7:$H$96)),"")))))</f>
        <v/>
      </c>
      <c r="AB71">
        <f>IF(G71="","",IF(NOT(ISNUMBER(G71)),"Chi không hợp lệ",IF(OR(NOT(ISNUMBER(A71)),B71=""),"Thiếu ngày/kênh",IF(COUNTIFS($A$5:$A$104,A71,$B$5:$B$104,B71)&gt;1,"Trùng ngày/kênh",IF(AA71="","Thiếu nguồn hoặc kênh",IF(G71=AA71,"Khớp","Lệch"))))))</f>
        <v/>
      </c>
    </row>
    <row r="72">
      <c r="A72" s="137" t="n"/>
      <c r="B72" s="112" t="n"/>
      <c r="C72" s="112" t="n"/>
      <c r="D72" s="112" t="n"/>
      <c r="E72" s="112" t="n"/>
      <c r="F72" s="112" t="n"/>
      <c r="G72" s="138" t="n"/>
      <c r="H72" s="112" t="n"/>
      <c r="I72" s="112" t="n"/>
      <c r="J72" s="112" t="n"/>
      <c r="K72" s="112" t="n"/>
      <c r="L72" s="112" t="n"/>
      <c r="M72" s="112" t="n"/>
      <c r="N72" s="139">
        <f>IF(OR(NOT(ISNUMBER(E72)),E72&lt;=0,NOT(ISNUMBER(F72))),"",F72/E72)</f>
        <v/>
      </c>
      <c r="O72" s="139">
        <f>IF(OR(NOT(ISNUMBER(H72)),H72&lt;=0,NOT(ISNUMBER(I72))),"",I72/H72)</f>
        <v/>
      </c>
      <c r="P72" s="139">
        <f>IF(OR(NOT(ISNUMBER(K72)),K72&lt;=0,NOT(ISNUMBER(J72))),"",J72/K72)</f>
        <v/>
      </c>
      <c r="Q72" s="139">
        <f>IF(OR(NOT(ISNUMBER(M72)),M72&lt;=0,NOT(ISNUMBER(L72))),"",L72/M72)</f>
        <v/>
      </c>
      <c r="R72" s="140">
        <f>IF(OR(NOT(ISNUMBER(I72)),I72&lt;=0,NOT(ISNUMBER(G72))),"",G72/I72)</f>
        <v/>
      </c>
      <c r="S72" s="112" t="n"/>
      <c r="T72" s="112" t="n"/>
      <c r="U72" s="112" t="n"/>
      <c r="V72" s="140">
        <f>IF(OR(NOT(ISNUMBER(E72)),E72&lt;=0,NOT(ISNUMBER(G72))),"",1000*G72/E72)</f>
        <v/>
      </c>
      <c r="W72" s="140">
        <f>IF(OR(NOT(ISNUMBER(F72)),F72&lt;=0,NOT(ISNUMBER(G72))),"",G72/F72)</f>
        <v/>
      </c>
      <c r="X72" s="112" t="n"/>
      <c r="Y72" s="112" t="n"/>
      <c r="Z72" s="139">
        <f>IF(OR(NOT(ISNUMBER(X72)),X72&lt;=0,NOT(ISNUMBER(Y72))),"",Y72/X72)</f>
        <v/>
      </c>
      <c r="AA72" s="140">
        <f>IF(OR(NOT(ISNUMBER(A72)),B72=""),"",IF(B72="LinkedIn",IF(COUNTIFS('03_Chi_tieu'!$A$7:$A$96,A72,'03_Chi_tieu'!$E$7:$E$96,"&gt;=0")=0,"",SUMIF('03_Chi_tieu'!$A$7:$A$96,A72,'03_Chi_tieu'!$E$7:$E$96)),IF(B72="Search",IF(COUNTIFS('03_Chi_tieu'!$A$7:$A$96,A72,'03_Chi_tieu'!$F$7:$F$96,"&gt;=0")=0,"",SUMIF('03_Chi_tieu'!$A$7:$A$96,A72,'03_Chi_tieu'!$F$7:$F$96)),IF(B72="Retargeting",IF(COUNTIFS('03_Chi_tieu'!$A$7:$A$96,A72,'03_Chi_tieu'!$G$7:$G$96,"&gt;=0")=0,"",SUMIF('03_Chi_tieu'!$A$7:$A$96,A72,'03_Chi_tieu'!$G$7:$G$96)),IF(B72="Other",IF(COUNTIFS('03_Chi_tieu'!$A$7:$A$96,A72,'03_Chi_tieu'!$H$7:$H$96,"&gt;=0")=0,"",SUMIF('03_Chi_tieu'!$A$7:$A$96,A72,'03_Chi_tieu'!$H$7:$H$96)),"")))))</f>
        <v/>
      </c>
      <c r="AB72">
        <f>IF(G72="","",IF(NOT(ISNUMBER(G72)),"Chi không hợp lệ",IF(OR(NOT(ISNUMBER(A72)),B72=""),"Thiếu ngày/kênh",IF(COUNTIFS($A$5:$A$104,A72,$B$5:$B$104,B72)&gt;1,"Trùng ngày/kênh",IF(AA72="","Thiếu nguồn hoặc kênh",IF(G72=AA72,"Khớp","Lệch"))))))</f>
        <v/>
      </c>
    </row>
    <row r="73">
      <c r="A73" s="137" t="n"/>
      <c r="B73" s="112" t="n"/>
      <c r="C73" s="112" t="n"/>
      <c r="D73" s="112" t="n"/>
      <c r="E73" s="112" t="n"/>
      <c r="F73" s="112" t="n"/>
      <c r="G73" s="138" t="n"/>
      <c r="H73" s="112" t="n"/>
      <c r="I73" s="112" t="n"/>
      <c r="J73" s="112" t="n"/>
      <c r="K73" s="112" t="n"/>
      <c r="L73" s="112" t="n"/>
      <c r="M73" s="112" t="n"/>
      <c r="N73" s="139">
        <f>IF(OR(NOT(ISNUMBER(E73)),E73&lt;=0,NOT(ISNUMBER(F73))),"",F73/E73)</f>
        <v/>
      </c>
      <c r="O73" s="139">
        <f>IF(OR(NOT(ISNUMBER(H73)),H73&lt;=0,NOT(ISNUMBER(I73))),"",I73/H73)</f>
        <v/>
      </c>
      <c r="P73" s="139">
        <f>IF(OR(NOT(ISNUMBER(K73)),K73&lt;=0,NOT(ISNUMBER(J73))),"",J73/K73)</f>
        <v/>
      </c>
      <c r="Q73" s="139">
        <f>IF(OR(NOT(ISNUMBER(M73)),M73&lt;=0,NOT(ISNUMBER(L73))),"",L73/M73)</f>
        <v/>
      </c>
      <c r="R73" s="140">
        <f>IF(OR(NOT(ISNUMBER(I73)),I73&lt;=0,NOT(ISNUMBER(G73))),"",G73/I73)</f>
        <v/>
      </c>
      <c r="S73" s="112" t="n"/>
      <c r="T73" s="112" t="n"/>
      <c r="U73" s="112" t="n"/>
      <c r="V73" s="140">
        <f>IF(OR(NOT(ISNUMBER(E73)),E73&lt;=0,NOT(ISNUMBER(G73))),"",1000*G73/E73)</f>
        <v/>
      </c>
      <c r="W73" s="140">
        <f>IF(OR(NOT(ISNUMBER(F73)),F73&lt;=0,NOT(ISNUMBER(G73))),"",G73/F73)</f>
        <v/>
      </c>
      <c r="X73" s="112" t="n"/>
      <c r="Y73" s="112" t="n"/>
      <c r="Z73" s="139">
        <f>IF(OR(NOT(ISNUMBER(X73)),X73&lt;=0,NOT(ISNUMBER(Y73))),"",Y73/X73)</f>
        <v/>
      </c>
      <c r="AA73" s="140">
        <f>IF(OR(NOT(ISNUMBER(A73)),B73=""),"",IF(B73="LinkedIn",IF(COUNTIFS('03_Chi_tieu'!$A$7:$A$96,A73,'03_Chi_tieu'!$E$7:$E$96,"&gt;=0")=0,"",SUMIF('03_Chi_tieu'!$A$7:$A$96,A73,'03_Chi_tieu'!$E$7:$E$96)),IF(B73="Search",IF(COUNTIFS('03_Chi_tieu'!$A$7:$A$96,A73,'03_Chi_tieu'!$F$7:$F$96,"&gt;=0")=0,"",SUMIF('03_Chi_tieu'!$A$7:$A$96,A73,'03_Chi_tieu'!$F$7:$F$96)),IF(B73="Retargeting",IF(COUNTIFS('03_Chi_tieu'!$A$7:$A$96,A73,'03_Chi_tieu'!$G$7:$G$96,"&gt;=0")=0,"",SUMIF('03_Chi_tieu'!$A$7:$A$96,A73,'03_Chi_tieu'!$G$7:$G$96)),IF(B73="Other",IF(COUNTIFS('03_Chi_tieu'!$A$7:$A$96,A73,'03_Chi_tieu'!$H$7:$H$96,"&gt;=0")=0,"",SUMIF('03_Chi_tieu'!$A$7:$A$96,A73,'03_Chi_tieu'!$H$7:$H$96)),"")))))</f>
        <v/>
      </c>
      <c r="AB73">
        <f>IF(G73="","",IF(NOT(ISNUMBER(G73)),"Chi không hợp lệ",IF(OR(NOT(ISNUMBER(A73)),B73=""),"Thiếu ngày/kênh",IF(COUNTIFS($A$5:$A$104,A73,$B$5:$B$104,B73)&gt;1,"Trùng ngày/kênh",IF(AA73="","Thiếu nguồn hoặc kênh",IF(G73=AA73,"Khớp","Lệch"))))))</f>
        <v/>
      </c>
    </row>
    <row r="74">
      <c r="A74" s="137" t="n"/>
      <c r="B74" s="112" t="n"/>
      <c r="C74" s="112" t="n"/>
      <c r="D74" s="112" t="n"/>
      <c r="E74" s="112" t="n"/>
      <c r="F74" s="112" t="n"/>
      <c r="G74" s="138" t="n"/>
      <c r="H74" s="112" t="n"/>
      <c r="I74" s="112" t="n"/>
      <c r="J74" s="112" t="n"/>
      <c r="K74" s="112" t="n"/>
      <c r="L74" s="112" t="n"/>
      <c r="M74" s="112" t="n"/>
      <c r="N74" s="139">
        <f>IF(OR(NOT(ISNUMBER(E74)),E74&lt;=0,NOT(ISNUMBER(F74))),"",F74/E74)</f>
        <v/>
      </c>
      <c r="O74" s="139">
        <f>IF(OR(NOT(ISNUMBER(H74)),H74&lt;=0,NOT(ISNUMBER(I74))),"",I74/H74)</f>
        <v/>
      </c>
      <c r="P74" s="139">
        <f>IF(OR(NOT(ISNUMBER(K74)),K74&lt;=0,NOT(ISNUMBER(J74))),"",J74/K74)</f>
        <v/>
      </c>
      <c r="Q74" s="139">
        <f>IF(OR(NOT(ISNUMBER(M74)),M74&lt;=0,NOT(ISNUMBER(L74))),"",L74/M74)</f>
        <v/>
      </c>
      <c r="R74" s="140">
        <f>IF(OR(NOT(ISNUMBER(I74)),I74&lt;=0,NOT(ISNUMBER(G74))),"",G74/I74)</f>
        <v/>
      </c>
      <c r="S74" s="112" t="n"/>
      <c r="T74" s="112" t="n"/>
      <c r="U74" s="112" t="n"/>
      <c r="V74" s="140">
        <f>IF(OR(NOT(ISNUMBER(E74)),E74&lt;=0,NOT(ISNUMBER(G74))),"",1000*G74/E74)</f>
        <v/>
      </c>
      <c r="W74" s="140">
        <f>IF(OR(NOT(ISNUMBER(F74)),F74&lt;=0,NOT(ISNUMBER(G74))),"",G74/F74)</f>
        <v/>
      </c>
      <c r="X74" s="112" t="n"/>
      <c r="Y74" s="112" t="n"/>
      <c r="Z74" s="139">
        <f>IF(OR(NOT(ISNUMBER(X74)),X74&lt;=0,NOT(ISNUMBER(Y74))),"",Y74/X74)</f>
        <v/>
      </c>
      <c r="AA74" s="140">
        <f>IF(OR(NOT(ISNUMBER(A74)),B74=""),"",IF(B74="LinkedIn",IF(COUNTIFS('03_Chi_tieu'!$A$7:$A$96,A74,'03_Chi_tieu'!$E$7:$E$96,"&gt;=0")=0,"",SUMIF('03_Chi_tieu'!$A$7:$A$96,A74,'03_Chi_tieu'!$E$7:$E$96)),IF(B74="Search",IF(COUNTIFS('03_Chi_tieu'!$A$7:$A$96,A74,'03_Chi_tieu'!$F$7:$F$96,"&gt;=0")=0,"",SUMIF('03_Chi_tieu'!$A$7:$A$96,A74,'03_Chi_tieu'!$F$7:$F$96)),IF(B74="Retargeting",IF(COUNTIFS('03_Chi_tieu'!$A$7:$A$96,A74,'03_Chi_tieu'!$G$7:$G$96,"&gt;=0")=0,"",SUMIF('03_Chi_tieu'!$A$7:$A$96,A74,'03_Chi_tieu'!$G$7:$G$96)),IF(B74="Other",IF(COUNTIFS('03_Chi_tieu'!$A$7:$A$96,A74,'03_Chi_tieu'!$H$7:$H$96,"&gt;=0")=0,"",SUMIF('03_Chi_tieu'!$A$7:$A$96,A74,'03_Chi_tieu'!$H$7:$H$96)),"")))))</f>
        <v/>
      </c>
      <c r="AB74">
        <f>IF(G74="","",IF(NOT(ISNUMBER(G74)),"Chi không hợp lệ",IF(OR(NOT(ISNUMBER(A74)),B74=""),"Thiếu ngày/kênh",IF(COUNTIFS($A$5:$A$104,A74,$B$5:$B$104,B74)&gt;1,"Trùng ngày/kênh",IF(AA74="","Thiếu nguồn hoặc kênh",IF(G74=AA74,"Khớp","Lệch"))))))</f>
        <v/>
      </c>
    </row>
    <row r="75">
      <c r="A75" s="137" t="n"/>
      <c r="B75" s="112" t="n"/>
      <c r="C75" s="112" t="n"/>
      <c r="D75" s="112" t="n"/>
      <c r="E75" s="112" t="n"/>
      <c r="F75" s="112" t="n"/>
      <c r="G75" s="138" t="n"/>
      <c r="H75" s="112" t="n"/>
      <c r="I75" s="112" t="n"/>
      <c r="J75" s="112" t="n"/>
      <c r="K75" s="112" t="n"/>
      <c r="L75" s="112" t="n"/>
      <c r="M75" s="112" t="n"/>
      <c r="N75" s="139">
        <f>IF(OR(NOT(ISNUMBER(E75)),E75&lt;=0,NOT(ISNUMBER(F75))),"",F75/E75)</f>
        <v/>
      </c>
      <c r="O75" s="139">
        <f>IF(OR(NOT(ISNUMBER(H75)),H75&lt;=0,NOT(ISNUMBER(I75))),"",I75/H75)</f>
        <v/>
      </c>
      <c r="P75" s="139">
        <f>IF(OR(NOT(ISNUMBER(K75)),K75&lt;=0,NOT(ISNUMBER(J75))),"",J75/K75)</f>
        <v/>
      </c>
      <c r="Q75" s="139">
        <f>IF(OR(NOT(ISNUMBER(M75)),M75&lt;=0,NOT(ISNUMBER(L75))),"",L75/M75)</f>
        <v/>
      </c>
      <c r="R75" s="140">
        <f>IF(OR(NOT(ISNUMBER(I75)),I75&lt;=0,NOT(ISNUMBER(G75))),"",G75/I75)</f>
        <v/>
      </c>
      <c r="S75" s="112" t="n"/>
      <c r="T75" s="112" t="n"/>
      <c r="U75" s="112" t="n"/>
      <c r="V75" s="140">
        <f>IF(OR(NOT(ISNUMBER(E75)),E75&lt;=0,NOT(ISNUMBER(G75))),"",1000*G75/E75)</f>
        <v/>
      </c>
      <c r="W75" s="140">
        <f>IF(OR(NOT(ISNUMBER(F75)),F75&lt;=0,NOT(ISNUMBER(G75))),"",G75/F75)</f>
        <v/>
      </c>
      <c r="X75" s="112" t="n"/>
      <c r="Y75" s="112" t="n"/>
      <c r="Z75" s="139">
        <f>IF(OR(NOT(ISNUMBER(X75)),X75&lt;=0,NOT(ISNUMBER(Y75))),"",Y75/X75)</f>
        <v/>
      </c>
      <c r="AA75" s="140">
        <f>IF(OR(NOT(ISNUMBER(A75)),B75=""),"",IF(B75="LinkedIn",IF(COUNTIFS('03_Chi_tieu'!$A$7:$A$96,A75,'03_Chi_tieu'!$E$7:$E$96,"&gt;=0")=0,"",SUMIF('03_Chi_tieu'!$A$7:$A$96,A75,'03_Chi_tieu'!$E$7:$E$96)),IF(B75="Search",IF(COUNTIFS('03_Chi_tieu'!$A$7:$A$96,A75,'03_Chi_tieu'!$F$7:$F$96,"&gt;=0")=0,"",SUMIF('03_Chi_tieu'!$A$7:$A$96,A75,'03_Chi_tieu'!$F$7:$F$96)),IF(B75="Retargeting",IF(COUNTIFS('03_Chi_tieu'!$A$7:$A$96,A75,'03_Chi_tieu'!$G$7:$G$96,"&gt;=0")=0,"",SUMIF('03_Chi_tieu'!$A$7:$A$96,A75,'03_Chi_tieu'!$G$7:$G$96)),IF(B75="Other",IF(COUNTIFS('03_Chi_tieu'!$A$7:$A$96,A75,'03_Chi_tieu'!$H$7:$H$96,"&gt;=0")=0,"",SUMIF('03_Chi_tieu'!$A$7:$A$96,A75,'03_Chi_tieu'!$H$7:$H$96)),"")))))</f>
        <v/>
      </c>
      <c r="AB75">
        <f>IF(G75="","",IF(NOT(ISNUMBER(G75)),"Chi không hợp lệ",IF(OR(NOT(ISNUMBER(A75)),B75=""),"Thiếu ngày/kênh",IF(COUNTIFS($A$5:$A$104,A75,$B$5:$B$104,B75)&gt;1,"Trùng ngày/kênh",IF(AA75="","Thiếu nguồn hoặc kênh",IF(G75=AA75,"Khớp","Lệch"))))))</f>
        <v/>
      </c>
    </row>
    <row r="76">
      <c r="A76" s="137" t="n"/>
      <c r="B76" s="112" t="n"/>
      <c r="C76" s="112" t="n"/>
      <c r="D76" s="112" t="n"/>
      <c r="E76" s="112" t="n"/>
      <c r="F76" s="112" t="n"/>
      <c r="G76" s="138" t="n"/>
      <c r="H76" s="112" t="n"/>
      <c r="I76" s="112" t="n"/>
      <c r="J76" s="112" t="n"/>
      <c r="K76" s="112" t="n"/>
      <c r="L76" s="112" t="n"/>
      <c r="M76" s="112" t="n"/>
      <c r="N76" s="139">
        <f>IF(OR(NOT(ISNUMBER(E76)),E76&lt;=0,NOT(ISNUMBER(F76))),"",F76/E76)</f>
        <v/>
      </c>
      <c r="O76" s="139">
        <f>IF(OR(NOT(ISNUMBER(H76)),H76&lt;=0,NOT(ISNUMBER(I76))),"",I76/H76)</f>
        <v/>
      </c>
      <c r="P76" s="139">
        <f>IF(OR(NOT(ISNUMBER(K76)),K76&lt;=0,NOT(ISNUMBER(J76))),"",J76/K76)</f>
        <v/>
      </c>
      <c r="Q76" s="139">
        <f>IF(OR(NOT(ISNUMBER(M76)),M76&lt;=0,NOT(ISNUMBER(L76))),"",L76/M76)</f>
        <v/>
      </c>
      <c r="R76" s="140">
        <f>IF(OR(NOT(ISNUMBER(I76)),I76&lt;=0,NOT(ISNUMBER(G76))),"",G76/I76)</f>
        <v/>
      </c>
      <c r="S76" s="112" t="n"/>
      <c r="T76" s="112" t="n"/>
      <c r="U76" s="112" t="n"/>
      <c r="V76" s="140">
        <f>IF(OR(NOT(ISNUMBER(E76)),E76&lt;=0,NOT(ISNUMBER(G76))),"",1000*G76/E76)</f>
        <v/>
      </c>
      <c r="W76" s="140">
        <f>IF(OR(NOT(ISNUMBER(F76)),F76&lt;=0,NOT(ISNUMBER(G76))),"",G76/F76)</f>
        <v/>
      </c>
      <c r="X76" s="112" t="n"/>
      <c r="Y76" s="112" t="n"/>
      <c r="Z76" s="139">
        <f>IF(OR(NOT(ISNUMBER(X76)),X76&lt;=0,NOT(ISNUMBER(Y76))),"",Y76/X76)</f>
        <v/>
      </c>
      <c r="AA76" s="140">
        <f>IF(OR(NOT(ISNUMBER(A76)),B76=""),"",IF(B76="LinkedIn",IF(COUNTIFS('03_Chi_tieu'!$A$7:$A$96,A76,'03_Chi_tieu'!$E$7:$E$96,"&gt;=0")=0,"",SUMIF('03_Chi_tieu'!$A$7:$A$96,A76,'03_Chi_tieu'!$E$7:$E$96)),IF(B76="Search",IF(COUNTIFS('03_Chi_tieu'!$A$7:$A$96,A76,'03_Chi_tieu'!$F$7:$F$96,"&gt;=0")=0,"",SUMIF('03_Chi_tieu'!$A$7:$A$96,A76,'03_Chi_tieu'!$F$7:$F$96)),IF(B76="Retargeting",IF(COUNTIFS('03_Chi_tieu'!$A$7:$A$96,A76,'03_Chi_tieu'!$G$7:$G$96,"&gt;=0")=0,"",SUMIF('03_Chi_tieu'!$A$7:$A$96,A76,'03_Chi_tieu'!$G$7:$G$96)),IF(B76="Other",IF(COUNTIFS('03_Chi_tieu'!$A$7:$A$96,A76,'03_Chi_tieu'!$H$7:$H$96,"&gt;=0")=0,"",SUMIF('03_Chi_tieu'!$A$7:$A$96,A76,'03_Chi_tieu'!$H$7:$H$96)),"")))))</f>
        <v/>
      </c>
      <c r="AB76">
        <f>IF(G76="","",IF(NOT(ISNUMBER(G76)),"Chi không hợp lệ",IF(OR(NOT(ISNUMBER(A76)),B76=""),"Thiếu ngày/kênh",IF(COUNTIFS($A$5:$A$104,A76,$B$5:$B$104,B76)&gt;1,"Trùng ngày/kênh",IF(AA76="","Thiếu nguồn hoặc kênh",IF(G76=AA76,"Khớp","Lệch"))))))</f>
        <v/>
      </c>
    </row>
    <row r="77">
      <c r="A77" s="137" t="n"/>
      <c r="B77" s="112" t="n"/>
      <c r="C77" s="112" t="n"/>
      <c r="D77" s="112" t="n"/>
      <c r="E77" s="112" t="n"/>
      <c r="F77" s="112" t="n"/>
      <c r="G77" s="138" t="n"/>
      <c r="H77" s="112" t="n"/>
      <c r="I77" s="112" t="n"/>
      <c r="J77" s="112" t="n"/>
      <c r="K77" s="112" t="n"/>
      <c r="L77" s="112" t="n"/>
      <c r="M77" s="112" t="n"/>
      <c r="N77" s="139">
        <f>IF(OR(NOT(ISNUMBER(E77)),E77&lt;=0,NOT(ISNUMBER(F77))),"",F77/E77)</f>
        <v/>
      </c>
      <c r="O77" s="139">
        <f>IF(OR(NOT(ISNUMBER(H77)),H77&lt;=0,NOT(ISNUMBER(I77))),"",I77/H77)</f>
        <v/>
      </c>
      <c r="P77" s="139">
        <f>IF(OR(NOT(ISNUMBER(K77)),K77&lt;=0,NOT(ISNUMBER(J77))),"",J77/K77)</f>
        <v/>
      </c>
      <c r="Q77" s="139">
        <f>IF(OR(NOT(ISNUMBER(M77)),M77&lt;=0,NOT(ISNUMBER(L77))),"",L77/M77)</f>
        <v/>
      </c>
      <c r="R77" s="140">
        <f>IF(OR(NOT(ISNUMBER(I77)),I77&lt;=0,NOT(ISNUMBER(G77))),"",G77/I77)</f>
        <v/>
      </c>
      <c r="S77" s="112" t="n"/>
      <c r="T77" s="112" t="n"/>
      <c r="U77" s="112" t="n"/>
      <c r="V77" s="140">
        <f>IF(OR(NOT(ISNUMBER(E77)),E77&lt;=0,NOT(ISNUMBER(G77))),"",1000*G77/E77)</f>
        <v/>
      </c>
      <c r="W77" s="140">
        <f>IF(OR(NOT(ISNUMBER(F77)),F77&lt;=0,NOT(ISNUMBER(G77))),"",G77/F77)</f>
        <v/>
      </c>
      <c r="X77" s="112" t="n"/>
      <c r="Y77" s="112" t="n"/>
      <c r="Z77" s="139">
        <f>IF(OR(NOT(ISNUMBER(X77)),X77&lt;=0,NOT(ISNUMBER(Y77))),"",Y77/X77)</f>
        <v/>
      </c>
      <c r="AA77" s="140">
        <f>IF(OR(NOT(ISNUMBER(A77)),B77=""),"",IF(B77="LinkedIn",IF(COUNTIFS('03_Chi_tieu'!$A$7:$A$96,A77,'03_Chi_tieu'!$E$7:$E$96,"&gt;=0")=0,"",SUMIF('03_Chi_tieu'!$A$7:$A$96,A77,'03_Chi_tieu'!$E$7:$E$96)),IF(B77="Search",IF(COUNTIFS('03_Chi_tieu'!$A$7:$A$96,A77,'03_Chi_tieu'!$F$7:$F$96,"&gt;=0")=0,"",SUMIF('03_Chi_tieu'!$A$7:$A$96,A77,'03_Chi_tieu'!$F$7:$F$96)),IF(B77="Retargeting",IF(COUNTIFS('03_Chi_tieu'!$A$7:$A$96,A77,'03_Chi_tieu'!$G$7:$G$96,"&gt;=0")=0,"",SUMIF('03_Chi_tieu'!$A$7:$A$96,A77,'03_Chi_tieu'!$G$7:$G$96)),IF(B77="Other",IF(COUNTIFS('03_Chi_tieu'!$A$7:$A$96,A77,'03_Chi_tieu'!$H$7:$H$96,"&gt;=0")=0,"",SUMIF('03_Chi_tieu'!$A$7:$A$96,A77,'03_Chi_tieu'!$H$7:$H$96)),"")))))</f>
        <v/>
      </c>
      <c r="AB77">
        <f>IF(G77="","",IF(NOT(ISNUMBER(G77)),"Chi không hợp lệ",IF(OR(NOT(ISNUMBER(A77)),B77=""),"Thiếu ngày/kênh",IF(COUNTIFS($A$5:$A$104,A77,$B$5:$B$104,B77)&gt;1,"Trùng ngày/kênh",IF(AA77="","Thiếu nguồn hoặc kênh",IF(G77=AA77,"Khớp","Lệch"))))))</f>
        <v/>
      </c>
    </row>
    <row r="78">
      <c r="A78" s="137" t="n"/>
      <c r="B78" s="112" t="n"/>
      <c r="C78" s="112" t="n"/>
      <c r="D78" s="112" t="n"/>
      <c r="E78" s="112" t="n"/>
      <c r="F78" s="112" t="n"/>
      <c r="G78" s="138" t="n"/>
      <c r="H78" s="112" t="n"/>
      <c r="I78" s="112" t="n"/>
      <c r="J78" s="112" t="n"/>
      <c r="K78" s="112" t="n"/>
      <c r="L78" s="112" t="n"/>
      <c r="M78" s="112" t="n"/>
      <c r="N78" s="139">
        <f>IF(OR(NOT(ISNUMBER(E78)),E78&lt;=0,NOT(ISNUMBER(F78))),"",F78/E78)</f>
        <v/>
      </c>
      <c r="O78" s="139">
        <f>IF(OR(NOT(ISNUMBER(H78)),H78&lt;=0,NOT(ISNUMBER(I78))),"",I78/H78)</f>
        <v/>
      </c>
      <c r="P78" s="139">
        <f>IF(OR(NOT(ISNUMBER(K78)),K78&lt;=0,NOT(ISNUMBER(J78))),"",J78/K78)</f>
        <v/>
      </c>
      <c r="Q78" s="139">
        <f>IF(OR(NOT(ISNUMBER(M78)),M78&lt;=0,NOT(ISNUMBER(L78))),"",L78/M78)</f>
        <v/>
      </c>
      <c r="R78" s="140">
        <f>IF(OR(NOT(ISNUMBER(I78)),I78&lt;=0,NOT(ISNUMBER(G78))),"",G78/I78)</f>
        <v/>
      </c>
      <c r="S78" s="112" t="n"/>
      <c r="T78" s="112" t="n"/>
      <c r="U78" s="112" t="n"/>
      <c r="V78" s="140">
        <f>IF(OR(NOT(ISNUMBER(E78)),E78&lt;=0,NOT(ISNUMBER(G78))),"",1000*G78/E78)</f>
        <v/>
      </c>
      <c r="W78" s="140">
        <f>IF(OR(NOT(ISNUMBER(F78)),F78&lt;=0,NOT(ISNUMBER(G78))),"",G78/F78)</f>
        <v/>
      </c>
      <c r="X78" s="112" t="n"/>
      <c r="Y78" s="112" t="n"/>
      <c r="Z78" s="139">
        <f>IF(OR(NOT(ISNUMBER(X78)),X78&lt;=0,NOT(ISNUMBER(Y78))),"",Y78/X78)</f>
        <v/>
      </c>
      <c r="AA78" s="140">
        <f>IF(OR(NOT(ISNUMBER(A78)),B78=""),"",IF(B78="LinkedIn",IF(COUNTIFS('03_Chi_tieu'!$A$7:$A$96,A78,'03_Chi_tieu'!$E$7:$E$96,"&gt;=0")=0,"",SUMIF('03_Chi_tieu'!$A$7:$A$96,A78,'03_Chi_tieu'!$E$7:$E$96)),IF(B78="Search",IF(COUNTIFS('03_Chi_tieu'!$A$7:$A$96,A78,'03_Chi_tieu'!$F$7:$F$96,"&gt;=0")=0,"",SUMIF('03_Chi_tieu'!$A$7:$A$96,A78,'03_Chi_tieu'!$F$7:$F$96)),IF(B78="Retargeting",IF(COUNTIFS('03_Chi_tieu'!$A$7:$A$96,A78,'03_Chi_tieu'!$G$7:$G$96,"&gt;=0")=0,"",SUMIF('03_Chi_tieu'!$A$7:$A$96,A78,'03_Chi_tieu'!$G$7:$G$96)),IF(B78="Other",IF(COUNTIFS('03_Chi_tieu'!$A$7:$A$96,A78,'03_Chi_tieu'!$H$7:$H$96,"&gt;=0")=0,"",SUMIF('03_Chi_tieu'!$A$7:$A$96,A78,'03_Chi_tieu'!$H$7:$H$96)),"")))))</f>
        <v/>
      </c>
      <c r="AB78">
        <f>IF(G78="","",IF(NOT(ISNUMBER(G78)),"Chi không hợp lệ",IF(OR(NOT(ISNUMBER(A78)),B78=""),"Thiếu ngày/kênh",IF(COUNTIFS($A$5:$A$104,A78,$B$5:$B$104,B78)&gt;1,"Trùng ngày/kênh",IF(AA78="","Thiếu nguồn hoặc kênh",IF(G78=AA78,"Khớp","Lệch"))))))</f>
        <v/>
      </c>
    </row>
    <row r="79">
      <c r="A79" s="137" t="n"/>
      <c r="B79" s="112" t="n"/>
      <c r="C79" s="112" t="n"/>
      <c r="D79" s="112" t="n"/>
      <c r="E79" s="112" t="n"/>
      <c r="F79" s="112" t="n"/>
      <c r="G79" s="138" t="n"/>
      <c r="H79" s="112" t="n"/>
      <c r="I79" s="112" t="n"/>
      <c r="J79" s="112" t="n"/>
      <c r="K79" s="112" t="n"/>
      <c r="L79" s="112" t="n"/>
      <c r="M79" s="112" t="n"/>
      <c r="N79" s="139">
        <f>IF(OR(NOT(ISNUMBER(E79)),E79&lt;=0,NOT(ISNUMBER(F79))),"",F79/E79)</f>
        <v/>
      </c>
      <c r="O79" s="139">
        <f>IF(OR(NOT(ISNUMBER(H79)),H79&lt;=0,NOT(ISNUMBER(I79))),"",I79/H79)</f>
        <v/>
      </c>
      <c r="P79" s="139">
        <f>IF(OR(NOT(ISNUMBER(K79)),K79&lt;=0,NOT(ISNUMBER(J79))),"",J79/K79)</f>
        <v/>
      </c>
      <c r="Q79" s="139">
        <f>IF(OR(NOT(ISNUMBER(M79)),M79&lt;=0,NOT(ISNUMBER(L79))),"",L79/M79)</f>
        <v/>
      </c>
      <c r="R79" s="140">
        <f>IF(OR(NOT(ISNUMBER(I79)),I79&lt;=0,NOT(ISNUMBER(G79))),"",G79/I79)</f>
        <v/>
      </c>
      <c r="S79" s="112" t="n"/>
      <c r="T79" s="112" t="n"/>
      <c r="U79" s="112" t="n"/>
      <c r="V79" s="140">
        <f>IF(OR(NOT(ISNUMBER(E79)),E79&lt;=0,NOT(ISNUMBER(G79))),"",1000*G79/E79)</f>
        <v/>
      </c>
      <c r="W79" s="140">
        <f>IF(OR(NOT(ISNUMBER(F79)),F79&lt;=0,NOT(ISNUMBER(G79))),"",G79/F79)</f>
        <v/>
      </c>
      <c r="X79" s="112" t="n"/>
      <c r="Y79" s="112" t="n"/>
      <c r="Z79" s="139">
        <f>IF(OR(NOT(ISNUMBER(X79)),X79&lt;=0,NOT(ISNUMBER(Y79))),"",Y79/X79)</f>
        <v/>
      </c>
      <c r="AA79" s="140">
        <f>IF(OR(NOT(ISNUMBER(A79)),B79=""),"",IF(B79="LinkedIn",IF(COUNTIFS('03_Chi_tieu'!$A$7:$A$96,A79,'03_Chi_tieu'!$E$7:$E$96,"&gt;=0")=0,"",SUMIF('03_Chi_tieu'!$A$7:$A$96,A79,'03_Chi_tieu'!$E$7:$E$96)),IF(B79="Search",IF(COUNTIFS('03_Chi_tieu'!$A$7:$A$96,A79,'03_Chi_tieu'!$F$7:$F$96,"&gt;=0")=0,"",SUMIF('03_Chi_tieu'!$A$7:$A$96,A79,'03_Chi_tieu'!$F$7:$F$96)),IF(B79="Retargeting",IF(COUNTIFS('03_Chi_tieu'!$A$7:$A$96,A79,'03_Chi_tieu'!$G$7:$G$96,"&gt;=0")=0,"",SUMIF('03_Chi_tieu'!$A$7:$A$96,A79,'03_Chi_tieu'!$G$7:$G$96)),IF(B79="Other",IF(COUNTIFS('03_Chi_tieu'!$A$7:$A$96,A79,'03_Chi_tieu'!$H$7:$H$96,"&gt;=0")=0,"",SUMIF('03_Chi_tieu'!$A$7:$A$96,A79,'03_Chi_tieu'!$H$7:$H$96)),"")))))</f>
        <v/>
      </c>
      <c r="AB79">
        <f>IF(G79="","",IF(NOT(ISNUMBER(G79)),"Chi không hợp lệ",IF(OR(NOT(ISNUMBER(A79)),B79=""),"Thiếu ngày/kênh",IF(COUNTIFS($A$5:$A$104,A79,$B$5:$B$104,B79)&gt;1,"Trùng ngày/kênh",IF(AA79="","Thiếu nguồn hoặc kênh",IF(G79=AA79,"Khớp","Lệch"))))))</f>
        <v/>
      </c>
    </row>
    <row r="80">
      <c r="A80" s="137" t="n"/>
      <c r="B80" s="112" t="n"/>
      <c r="C80" s="112" t="n"/>
      <c r="D80" s="112" t="n"/>
      <c r="E80" s="112" t="n"/>
      <c r="F80" s="112" t="n"/>
      <c r="G80" s="138" t="n"/>
      <c r="H80" s="112" t="n"/>
      <c r="I80" s="112" t="n"/>
      <c r="J80" s="112" t="n"/>
      <c r="K80" s="112" t="n"/>
      <c r="L80" s="112" t="n"/>
      <c r="M80" s="112" t="n"/>
      <c r="N80" s="139">
        <f>IF(OR(NOT(ISNUMBER(E80)),E80&lt;=0,NOT(ISNUMBER(F80))),"",F80/E80)</f>
        <v/>
      </c>
      <c r="O80" s="139">
        <f>IF(OR(NOT(ISNUMBER(H80)),H80&lt;=0,NOT(ISNUMBER(I80))),"",I80/H80)</f>
        <v/>
      </c>
      <c r="P80" s="139">
        <f>IF(OR(NOT(ISNUMBER(K80)),K80&lt;=0,NOT(ISNUMBER(J80))),"",J80/K80)</f>
        <v/>
      </c>
      <c r="Q80" s="139">
        <f>IF(OR(NOT(ISNUMBER(M80)),M80&lt;=0,NOT(ISNUMBER(L80))),"",L80/M80)</f>
        <v/>
      </c>
      <c r="R80" s="140">
        <f>IF(OR(NOT(ISNUMBER(I80)),I80&lt;=0,NOT(ISNUMBER(G80))),"",G80/I80)</f>
        <v/>
      </c>
      <c r="S80" s="112" t="n"/>
      <c r="T80" s="112" t="n"/>
      <c r="U80" s="112" t="n"/>
      <c r="V80" s="140">
        <f>IF(OR(NOT(ISNUMBER(E80)),E80&lt;=0,NOT(ISNUMBER(G80))),"",1000*G80/E80)</f>
        <v/>
      </c>
      <c r="W80" s="140">
        <f>IF(OR(NOT(ISNUMBER(F80)),F80&lt;=0,NOT(ISNUMBER(G80))),"",G80/F80)</f>
        <v/>
      </c>
      <c r="X80" s="112" t="n"/>
      <c r="Y80" s="112" t="n"/>
      <c r="Z80" s="139">
        <f>IF(OR(NOT(ISNUMBER(X80)),X80&lt;=0,NOT(ISNUMBER(Y80))),"",Y80/X80)</f>
        <v/>
      </c>
      <c r="AA80" s="140">
        <f>IF(OR(NOT(ISNUMBER(A80)),B80=""),"",IF(B80="LinkedIn",IF(COUNTIFS('03_Chi_tieu'!$A$7:$A$96,A80,'03_Chi_tieu'!$E$7:$E$96,"&gt;=0")=0,"",SUMIF('03_Chi_tieu'!$A$7:$A$96,A80,'03_Chi_tieu'!$E$7:$E$96)),IF(B80="Search",IF(COUNTIFS('03_Chi_tieu'!$A$7:$A$96,A80,'03_Chi_tieu'!$F$7:$F$96,"&gt;=0")=0,"",SUMIF('03_Chi_tieu'!$A$7:$A$96,A80,'03_Chi_tieu'!$F$7:$F$96)),IF(B80="Retargeting",IF(COUNTIFS('03_Chi_tieu'!$A$7:$A$96,A80,'03_Chi_tieu'!$G$7:$G$96,"&gt;=0")=0,"",SUMIF('03_Chi_tieu'!$A$7:$A$96,A80,'03_Chi_tieu'!$G$7:$G$96)),IF(B80="Other",IF(COUNTIFS('03_Chi_tieu'!$A$7:$A$96,A80,'03_Chi_tieu'!$H$7:$H$96,"&gt;=0")=0,"",SUMIF('03_Chi_tieu'!$A$7:$A$96,A80,'03_Chi_tieu'!$H$7:$H$96)),"")))))</f>
        <v/>
      </c>
      <c r="AB80">
        <f>IF(G80="","",IF(NOT(ISNUMBER(G80)),"Chi không hợp lệ",IF(OR(NOT(ISNUMBER(A80)),B80=""),"Thiếu ngày/kênh",IF(COUNTIFS($A$5:$A$104,A80,$B$5:$B$104,B80)&gt;1,"Trùng ngày/kênh",IF(AA80="","Thiếu nguồn hoặc kênh",IF(G80=AA80,"Khớp","Lệch"))))))</f>
        <v/>
      </c>
    </row>
    <row r="81">
      <c r="A81" s="137" t="n"/>
      <c r="B81" s="112" t="n"/>
      <c r="C81" s="112" t="n"/>
      <c r="D81" s="112" t="n"/>
      <c r="E81" s="112" t="n"/>
      <c r="F81" s="112" t="n"/>
      <c r="G81" s="138" t="n"/>
      <c r="H81" s="112" t="n"/>
      <c r="I81" s="112" t="n"/>
      <c r="J81" s="112" t="n"/>
      <c r="K81" s="112" t="n"/>
      <c r="L81" s="112" t="n"/>
      <c r="M81" s="112" t="n"/>
      <c r="N81" s="139">
        <f>IF(OR(NOT(ISNUMBER(E81)),E81&lt;=0,NOT(ISNUMBER(F81))),"",F81/E81)</f>
        <v/>
      </c>
      <c r="O81" s="139">
        <f>IF(OR(NOT(ISNUMBER(H81)),H81&lt;=0,NOT(ISNUMBER(I81))),"",I81/H81)</f>
        <v/>
      </c>
      <c r="P81" s="139">
        <f>IF(OR(NOT(ISNUMBER(K81)),K81&lt;=0,NOT(ISNUMBER(J81))),"",J81/K81)</f>
        <v/>
      </c>
      <c r="Q81" s="139">
        <f>IF(OR(NOT(ISNUMBER(M81)),M81&lt;=0,NOT(ISNUMBER(L81))),"",L81/M81)</f>
        <v/>
      </c>
      <c r="R81" s="140">
        <f>IF(OR(NOT(ISNUMBER(I81)),I81&lt;=0,NOT(ISNUMBER(G81))),"",G81/I81)</f>
        <v/>
      </c>
      <c r="S81" s="112" t="n"/>
      <c r="T81" s="112" t="n"/>
      <c r="U81" s="112" t="n"/>
      <c r="V81" s="140">
        <f>IF(OR(NOT(ISNUMBER(E81)),E81&lt;=0,NOT(ISNUMBER(G81))),"",1000*G81/E81)</f>
        <v/>
      </c>
      <c r="W81" s="140">
        <f>IF(OR(NOT(ISNUMBER(F81)),F81&lt;=0,NOT(ISNUMBER(G81))),"",G81/F81)</f>
        <v/>
      </c>
      <c r="X81" s="112" t="n"/>
      <c r="Y81" s="112" t="n"/>
      <c r="Z81" s="139">
        <f>IF(OR(NOT(ISNUMBER(X81)),X81&lt;=0,NOT(ISNUMBER(Y81))),"",Y81/X81)</f>
        <v/>
      </c>
      <c r="AA81" s="140">
        <f>IF(OR(NOT(ISNUMBER(A81)),B81=""),"",IF(B81="LinkedIn",IF(COUNTIFS('03_Chi_tieu'!$A$7:$A$96,A81,'03_Chi_tieu'!$E$7:$E$96,"&gt;=0")=0,"",SUMIF('03_Chi_tieu'!$A$7:$A$96,A81,'03_Chi_tieu'!$E$7:$E$96)),IF(B81="Search",IF(COUNTIFS('03_Chi_tieu'!$A$7:$A$96,A81,'03_Chi_tieu'!$F$7:$F$96,"&gt;=0")=0,"",SUMIF('03_Chi_tieu'!$A$7:$A$96,A81,'03_Chi_tieu'!$F$7:$F$96)),IF(B81="Retargeting",IF(COUNTIFS('03_Chi_tieu'!$A$7:$A$96,A81,'03_Chi_tieu'!$G$7:$G$96,"&gt;=0")=0,"",SUMIF('03_Chi_tieu'!$A$7:$A$96,A81,'03_Chi_tieu'!$G$7:$G$96)),IF(B81="Other",IF(COUNTIFS('03_Chi_tieu'!$A$7:$A$96,A81,'03_Chi_tieu'!$H$7:$H$96,"&gt;=0")=0,"",SUMIF('03_Chi_tieu'!$A$7:$A$96,A81,'03_Chi_tieu'!$H$7:$H$96)),"")))))</f>
        <v/>
      </c>
      <c r="AB81">
        <f>IF(G81="","",IF(NOT(ISNUMBER(G81)),"Chi không hợp lệ",IF(OR(NOT(ISNUMBER(A81)),B81=""),"Thiếu ngày/kênh",IF(COUNTIFS($A$5:$A$104,A81,$B$5:$B$104,B81)&gt;1,"Trùng ngày/kênh",IF(AA81="","Thiếu nguồn hoặc kênh",IF(G81=AA81,"Khớp","Lệch"))))))</f>
        <v/>
      </c>
    </row>
    <row r="82">
      <c r="A82" s="137" t="n"/>
      <c r="B82" s="112" t="n"/>
      <c r="C82" s="112" t="n"/>
      <c r="D82" s="112" t="n"/>
      <c r="E82" s="112" t="n"/>
      <c r="F82" s="112" t="n"/>
      <c r="G82" s="138" t="n"/>
      <c r="H82" s="112" t="n"/>
      <c r="I82" s="112" t="n"/>
      <c r="J82" s="112" t="n"/>
      <c r="K82" s="112" t="n"/>
      <c r="L82" s="112" t="n"/>
      <c r="M82" s="112" t="n"/>
      <c r="N82" s="139">
        <f>IF(OR(NOT(ISNUMBER(E82)),E82&lt;=0,NOT(ISNUMBER(F82))),"",F82/E82)</f>
        <v/>
      </c>
      <c r="O82" s="139">
        <f>IF(OR(NOT(ISNUMBER(H82)),H82&lt;=0,NOT(ISNUMBER(I82))),"",I82/H82)</f>
        <v/>
      </c>
      <c r="P82" s="139">
        <f>IF(OR(NOT(ISNUMBER(K82)),K82&lt;=0,NOT(ISNUMBER(J82))),"",J82/K82)</f>
        <v/>
      </c>
      <c r="Q82" s="139">
        <f>IF(OR(NOT(ISNUMBER(M82)),M82&lt;=0,NOT(ISNUMBER(L82))),"",L82/M82)</f>
        <v/>
      </c>
      <c r="R82" s="140">
        <f>IF(OR(NOT(ISNUMBER(I82)),I82&lt;=0,NOT(ISNUMBER(G82))),"",G82/I82)</f>
        <v/>
      </c>
      <c r="S82" s="112" t="n"/>
      <c r="T82" s="112" t="n"/>
      <c r="U82" s="112" t="n"/>
      <c r="V82" s="140">
        <f>IF(OR(NOT(ISNUMBER(E82)),E82&lt;=0,NOT(ISNUMBER(G82))),"",1000*G82/E82)</f>
        <v/>
      </c>
      <c r="W82" s="140">
        <f>IF(OR(NOT(ISNUMBER(F82)),F82&lt;=0,NOT(ISNUMBER(G82))),"",G82/F82)</f>
        <v/>
      </c>
      <c r="X82" s="112" t="n"/>
      <c r="Y82" s="112" t="n"/>
      <c r="Z82" s="139">
        <f>IF(OR(NOT(ISNUMBER(X82)),X82&lt;=0,NOT(ISNUMBER(Y82))),"",Y82/X82)</f>
        <v/>
      </c>
      <c r="AA82" s="140">
        <f>IF(OR(NOT(ISNUMBER(A82)),B82=""),"",IF(B82="LinkedIn",IF(COUNTIFS('03_Chi_tieu'!$A$7:$A$96,A82,'03_Chi_tieu'!$E$7:$E$96,"&gt;=0")=0,"",SUMIF('03_Chi_tieu'!$A$7:$A$96,A82,'03_Chi_tieu'!$E$7:$E$96)),IF(B82="Search",IF(COUNTIFS('03_Chi_tieu'!$A$7:$A$96,A82,'03_Chi_tieu'!$F$7:$F$96,"&gt;=0")=0,"",SUMIF('03_Chi_tieu'!$A$7:$A$96,A82,'03_Chi_tieu'!$F$7:$F$96)),IF(B82="Retargeting",IF(COUNTIFS('03_Chi_tieu'!$A$7:$A$96,A82,'03_Chi_tieu'!$G$7:$G$96,"&gt;=0")=0,"",SUMIF('03_Chi_tieu'!$A$7:$A$96,A82,'03_Chi_tieu'!$G$7:$G$96)),IF(B82="Other",IF(COUNTIFS('03_Chi_tieu'!$A$7:$A$96,A82,'03_Chi_tieu'!$H$7:$H$96,"&gt;=0")=0,"",SUMIF('03_Chi_tieu'!$A$7:$A$96,A82,'03_Chi_tieu'!$H$7:$H$96)),"")))))</f>
        <v/>
      </c>
      <c r="AB82">
        <f>IF(G82="","",IF(NOT(ISNUMBER(G82)),"Chi không hợp lệ",IF(OR(NOT(ISNUMBER(A82)),B82=""),"Thiếu ngày/kênh",IF(COUNTIFS($A$5:$A$104,A82,$B$5:$B$104,B82)&gt;1,"Trùng ngày/kênh",IF(AA82="","Thiếu nguồn hoặc kênh",IF(G82=AA82,"Khớp","Lệch"))))))</f>
        <v/>
      </c>
    </row>
    <row r="83">
      <c r="A83" s="137" t="n"/>
      <c r="B83" s="112" t="n"/>
      <c r="C83" s="112" t="n"/>
      <c r="D83" s="112" t="n"/>
      <c r="E83" s="112" t="n"/>
      <c r="F83" s="112" t="n"/>
      <c r="G83" s="138" t="n"/>
      <c r="H83" s="112" t="n"/>
      <c r="I83" s="112" t="n"/>
      <c r="J83" s="112" t="n"/>
      <c r="K83" s="112" t="n"/>
      <c r="L83" s="112" t="n"/>
      <c r="M83" s="112" t="n"/>
      <c r="N83" s="139">
        <f>IF(OR(NOT(ISNUMBER(E83)),E83&lt;=0,NOT(ISNUMBER(F83))),"",F83/E83)</f>
        <v/>
      </c>
      <c r="O83" s="139">
        <f>IF(OR(NOT(ISNUMBER(H83)),H83&lt;=0,NOT(ISNUMBER(I83))),"",I83/H83)</f>
        <v/>
      </c>
      <c r="P83" s="139">
        <f>IF(OR(NOT(ISNUMBER(K83)),K83&lt;=0,NOT(ISNUMBER(J83))),"",J83/K83)</f>
        <v/>
      </c>
      <c r="Q83" s="139">
        <f>IF(OR(NOT(ISNUMBER(M83)),M83&lt;=0,NOT(ISNUMBER(L83))),"",L83/M83)</f>
        <v/>
      </c>
      <c r="R83" s="140">
        <f>IF(OR(NOT(ISNUMBER(I83)),I83&lt;=0,NOT(ISNUMBER(G83))),"",G83/I83)</f>
        <v/>
      </c>
      <c r="S83" s="112" t="n"/>
      <c r="T83" s="112" t="n"/>
      <c r="U83" s="112" t="n"/>
      <c r="V83" s="140">
        <f>IF(OR(NOT(ISNUMBER(E83)),E83&lt;=0,NOT(ISNUMBER(G83))),"",1000*G83/E83)</f>
        <v/>
      </c>
      <c r="W83" s="140">
        <f>IF(OR(NOT(ISNUMBER(F83)),F83&lt;=0,NOT(ISNUMBER(G83))),"",G83/F83)</f>
        <v/>
      </c>
      <c r="X83" s="112" t="n"/>
      <c r="Y83" s="112" t="n"/>
      <c r="Z83" s="139">
        <f>IF(OR(NOT(ISNUMBER(X83)),X83&lt;=0,NOT(ISNUMBER(Y83))),"",Y83/X83)</f>
        <v/>
      </c>
      <c r="AA83" s="140">
        <f>IF(OR(NOT(ISNUMBER(A83)),B83=""),"",IF(B83="LinkedIn",IF(COUNTIFS('03_Chi_tieu'!$A$7:$A$96,A83,'03_Chi_tieu'!$E$7:$E$96,"&gt;=0")=0,"",SUMIF('03_Chi_tieu'!$A$7:$A$96,A83,'03_Chi_tieu'!$E$7:$E$96)),IF(B83="Search",IF(COUNTIFS('03_Chi_tieu'!$A$7:$A$96,A83,'03_Chi_tieu'!$F$7:$F$96,"&gt;=0")=0,"",SUMIF('03_Chi_tieu'!$A$7:$A$96,A83,'03_Chi_tieu'!$F$7:$F$96)),IF(B83="Retargeting",IF(COUNTIFS('03_Chi_tieu'!$A$7:$A$96,A83,'03_Chi_tieu'!$G$7:$G$96,"&gt;=0")=0,"",SUMIF('03_Chi_tieu'!$A$7:$A$96,A83,'03_Chi_tieu'!$G$7:$G$96)),IF(B83="Other",IF(COUNTIFS('03_Chi_tieu'!$A$7:$A$96,A83,'03_Chi_tieu'!$H$7:$H$96,"&gt;=0")=0,"",SUMIF('03_Chi_tieu'!$A$7:$A$96,A83,'03_Chi_tieu'!$H$7:$H$96)),"")))))</f>
        <v/>
      </c>
      <c r="AB83">
        <f>IF(G83="","",IF(NOT(ISNUMBER(G83)),"Chi không hợp lệ",IF(OR(NOT(ISNUMBER(A83)),B83=""),"Thiếu ngày/kênh",IF(COUNTIFS($A$5:$A$104,A83,$B$5:$B$104,B83)&gt;1,"Trùng ngày/kênh",IF(AA83="","Thiếu nguồn hoặc kênh",IF(G83=AA83,"Khớp","Lệch"))))))</f>
        <v/>
      </c>
    </row>
    <row r="84">
      <c r="A84" s="137" t="n"/>
      <c r="B84" s="112" t="n"/>
      <c r="C84" s="112" t="n"/>
      <c r="D84" s="112" t="n"/>
      <c r="E84" s="112" t="n"/>
      <c r="F84" s="112" t="n"/>
      <c r="G84" s="138" t="n"/>
      <c r="H84" s="112" t="n"/>
      <c r="I84" s="112" t="n"/>
      <c r="J84" s="112" t="n"/>
      <c r="K84" s="112" t="n"/>
      <c r="L84" s="112" t="n"/>
      <c r="M84" s="112" t="n"/>
      <c r="N84" s="139">
        <f>IF(OR(NOT(ISNUMBER(E84)),E84&lt;=0,NOT(ISNUMBER(F84))),"",F84/E84)</f>
        <v/>
      </c>
      <c r="O84" s="139">
        <f>IF(OR(NOT(ISNUMBER(H84)),H84&lt;=0,NOT(ISNUMBER(I84))),"",I84/H84)</f>
        <v/>
      </c>
      <c r="P84" s="139">
        <f>IF(OR(NOT(ISNUMBER(K84)),K84&lt;=0,NOT(ISNUMBER(J84))),"",J84/K84)</f>
        <v/>
      </c>
      <c r="Q84" s="139">
        <f>IF(OR(NOT(ISNUMBER(M84)),M84&lt;=0,NOT(ISNUMBER(L84))),"",L84/M84)</f>
        <v/>
      </c>
      <c r="R84" s="140">
        <f>IF(OR(NOT(ISNUMBER(I84)),I84&lt;=0,NOT(ISNUMBER(G84))),"",G84/I84)</f>
        <v/>
      </c>
      <c r="S84" s="112" t="n"/>
      <c r="T84" s="112" t="n"/>
      <c r="U84" s="112" t="n"/>
      <c r="V84" s="140">
        <f>IF(OR(NOT(ISNUMBER(E84)),E84&lt;=0,NOT(ISNUMBER(G84))),"",1000*G84/E84)</f>
        <v/>
      </c>
      <c r="W84" s="140">
        <f>IF(OR(NOT(ISNUMBER(F84)),F84&lt;=0,NOT(ISNUMBER(G84))),"",G84/F84)</f>
        <v/>
      </c>
      <c r="X84" s="112" t="n"/>
      <c r="Y84" s="112" t="n"/>
      <c r="Z84" s="139">
        <f>IF(OR(NOT(ISNUMBER(X84)),X84&lt;=0,NOT(ISNUMBER(Y84))),"",Y84/X84)</f>
        <v/>
      </c>
      <c r="AA84" s="140">
        <f>IF(OR(NOT(ISNUMBER(A84)),B84=""),"",IF(B84="LinkedIn",IF(COUNTIFS('03_Chi_tieu'!$A$7:$A$96,A84,'03_Chi_tieu'!$E$7:$E$96,"&gt;=0")=0,"",SUMIF('03_Chi_tieu'!$A$7:$A$96,A84,'03_Chi_tieu'!$E$7:$E$96)),IF(B84="Search",IF(COUNTIFS('03_Chi_tieu'!$A$7:$A$96,A84,'03_Chi_tieu'!$F$7:$F$96,"&gt;=0")=0,"",SUMIF('03_Chi_tieu'!$A$7:$A$96,A84,'03_Chi_tieu'!$F$7:$F$96)),IF(B84="Retargeting",IF(COUNTIFS('03_Chi_tieu'!$A$7:$A$96,A84,'03_Chi_tieu'!$G$7:$G$96,"&gt;=0")=0,"",SUMIF('03_Chi_tieu'!$A$7:$A$96,A84,'03_Chi_tieu'!$G$7:$G$96)),IF(B84="Other",IF(COUNTIFS('03_Chi_tieu'!$A$7:$A$96,A84,'03_Chi_tieu'!$H$7:$H$96,"&gt;=0")=0,"",SUMIF('03_Chi_tieu'!$A$7:$A$96,A84,'03_Chi_tieu'!$H$7:$H$96)),"")))))</f>
        <v/>
      </c>
      <c r="AB84">
        <f>IF(G84="","",IF(NOT(ISNUMBER(G84)),"Chi không hợp lệ",IF(OR(NOT(ISNUMBER(A84)),B84=""),"Thiếu ngày/kênh",IF(COUNTIFS($A$5:$A$104,A84,$B$5:$B$104,B84)&gt;1,"Trùng ngày/kênh",IF(AA84="","Thiếu nguồn hoặc kênh",IF(G84=AA84,"Khớp","Lệch"))))))</f>
        <v/>
      </c>
    </row>
    <row r="85">
      <c r="A85" s="137" t="n"/>
      <c r="B85" s="112" t="n"/>
      <c r="C85" s="112" t="n"/>
      <c r="D85" s="112" t="n"/>
      <c r="E85" s="112" t="n"/>
      <c r="F85" s="112" t="n"/>
      <c r="G85" s="138" t="n"/>
      <c r="H85" s="112" t="n"/>
      <c r="I85" s="112" t="n"/>
      <c r="J85" s="112" t="n"/>
      <c r="K85" s="112" t="n"/>
      <c r="L85" s="112" t="n"/>
      <c r="M85" s="112" t="n"/>
      <c r="N85" s="139">
        <f>IF(OR(NOT(ISNUMBER(E85)),E85&lt;=0,NOT(ISNUMBER(F85))),"",F85/E85)</f>
        <v/>
      </c>
      <c r="O85" s="139">
        <f>IF(OR(NOT(ISNUMBER(H85)),H85&lt;=0,NOT(ISNUMBER(I85))),"",I85/H85)</f>
        <v/>
      </c>
      <c r="P85" s="139">
        <f>IF(OR(NOT(ISNUMBER(K85)),K85&lt;=0,NOT(ISNUMBER(J85))),"",J85/K85)</f>
        <v/>
      </c>
      <c r="Q85" s="139">
        <f>IF(OR(NOT(ISNUMBER(M85)),M85&lt;=0,NOT(ISNUMBER(L85))),"",L85/M85)</f>
        <v/>
      </c>
      <c r="R85" s="140">
        <f>IF(OR(NOT(ISNUMBER(I85)),I85&lt;=0,NOT(ISNUMBER(G85))),"",G85/I85)</f>
        <v/>
      </c>
      <c r="S85" s="112" t="n"/>
      <c r="T85" s="112" t="n"/>
      <c r="U85" s="112" t="n"/>
      <c r="V85" s="140">
        <f>IF(OR(NOT(ISNUMBER(E85)),E85&lt;=0,NOT(ISNUMBER(G85))),"",1000*G85/E85)</f>
        <v/>
      </c>
      <c r="W85" s="140">
        <f>IF(OR(NOT(ISNUMBER(F85)),F85&lt;=0,NOT(ISNUMBER(G85))),"",G85/F85)</f>
        <v/>
      </c>
      <c r="X85" s="112" t="n"/>
      <c r="Y85" s="112" t="n"/>
      <c r="Z85" s="139">
        <f>IF(OR(NOT(ISNUMBER(X85)),X85&lt;=0,NOT(ISNUMBER(Y85))),"",Y85/X85)</f>
        <v/>
      </c>
      <c r="AA85" s="140">
        <f>IF(OR(NOT(ISNUMBER(A85)),B85=""),"",IF(B85="LinkedIn",IF(COUNTIFS('03_Chi_tieu'!$A$7:$A$96,A85,'03_Chi_tieu'!$E$7:$E$96,"&gt;=0")=0,"",SUMIF('03_Chi_tieu'!$A$7:$A$96,A85,'03_Chi_tieu'!$E$7:$E$96)),IF(B85="Search",IF(COUNTIFS('03_Chi_tieu'!$A$7:$A$96,A85,'03_Chi_tieu'!$F$7:$F$96,"&gt;=0")=0,"",SUMIF('03_Chi_tieu'!$A$7:$A$96,A85,'03_Chi_tieu'!$F$7:$F$96)),IF(B85="Retargeting",IF(COUNTIFS('03_Chi_tieu'!$A$7:$A$96,A85,'03_Chi_tieu'!$G$7:$G$96,"&gt;=0")=0,"",SUMIF('03_Chi_tieu'!$A$7:$A$96,A85,'03_Chi_tieu'!$G$7:$G$96)),IF(B85="Other",IF(COUNTIFS('03_Chi_tieu'!$A$7:$A$96,A85,'03_Chi_tieu'!$H$7:$H$96,"&gt;=0")=0,"",SUMIF('03_Chi_tieu'!$A$7:$A$96,A85,'03_Chi_tieu'!$H$7:$H$96)),"")))))</f>
        <v/>
      </c>
      <c r="AB85">
        <f>IF(G85="","",IF(NOT(ISNUMBER(G85)),"Chi không hợp lệ",IF(OR(NOT(ISNUMBER(A85)),B85=""),"Thiếu ngày/kênh",IF(COUNTIFS($A$5:$A$104,A85,$B$5:$B$104,B85)&gt;1,"Trùng ngày/kênh",IF(AA85="","Thiếu nguồn hoặc kênh",IF(G85=AA85,"Khớp","Lệch"))))))</f>
        <v/>
      </c>
    </row>
    <row r="86">
      <c r="A86" s="137" t="n"/>
      <c r="B86" s="112" t="n"/>
      <c r="C86" s="112" t="n"/>
      <c r="D86" s="112" t="n"/>
      <c r="E86" s="112" t="n"/>
      <c r="F86" s="112" t="n"/>
      <c r="G86" s="138" t="n"/>
      <c r="H86" s="112" t="n"/>
      <c r="I86" s="112" t="n"/>
      <c r="J86" s="112" t="n"/>
      <c r="K86" s="112" t="n"/>
      <c r="L86" s="112" t="n"/>
      <c r="M86" s="112" t="n"/>
      <c r="N86" s="139">
        <f>IF(OR(NOT(ISNUMBER(E86)),E86&lt;=0,NOT(ISNUMBER(F86))),"",F86/E86)</f>
        <v/>
      </c>
      <c r="O86" s="139">
        <f>IF(OR(NOT(ISNUMBER(H86)),H86&lt;=0,NOT(ISNUMBER(I86))),"",I86/H86)</f>
        <v/>
      </c>
      <c r="P86" s="139">
        <f>IF(OR(NOT(ISNUMBER(K86)),K86&lt;=0,NOT(ISNUMBER(J86))),"",J86/K86)</f>
        <v/>
      </c>
      <c r="Q86" s="139">
        <f>IF(OR(NOT(ISNUMBER(M86)),M86&lt;=0,NOT(ISNUMBER(L86))),"",L86/M86)</f>
        <v/>
      </c>
      <c r="R86" s="140">
        <f>IF(OR(NOT(ISNUMBER(I86)),I86&lt;=0,NOT(ISNUMBER(G86))),"",G86/I86)</f>
        <v/>
      </c>
      <c r="S86" s="112" t="n"/>
      <c r="T86" s="112" t="n"/>
      <c r="U86" s="112" t="n"/>
      <c r="V86" s="140">
        <f>IF(OR(NOT(ISNUMBER(E86)),E86&lt;=0,NOT(ISNUMBER(G86))),"",1000*G86/E86)</f>
        <v/>
      </c>
      <c r="W86" s="140">
        <f>IF(OR(NOT(ISNUMBER(F86)),F86&lt;=0,NOT(ISNUMBER(G86))),"",G86/F86)</f>
        <v/>
      </c>
      <c r="X86" s="112" t="n"/>
      <c r="Y86" s="112" t="n"/>
      <c r="Z86" s="139">
        <f>IF(OR(NOT(ISNUMBER(X86)),X86&lt;=0,NOT(ISNUMBER(Y86))),"",Y86/X86)</f>
        <v/>
      </c>
      <c r="AA86" s="140">
        <f>IF(OR(NOT(ISNUMBER(A86)),B86=""),"",IF(B86="LinkedIn",IF(COUNTIFS('03_Chi_tieu'!$A$7:$A$96,A86,'03_Chi_tieu'!$E$7:$E$96,"&gt;=0")=0,"",SUMIF('03_Chi_tieu'!$A$7:$A$96,A86,'03_Chi_tieu'!$E$7:$E$96)),IF(B86="Search",IF(COUNTIFS('03_Chi_tieu'!$A$7:$A$96,A86,'03_Chi_tieu'!$F$7:$F$96,"&gt;=0")=0,"",SUMIF('03_Chi_tieu'!$A$7:$A$96,A86,'03_Chi_tieu'!$F$7:$F$96)),IF(B86="Retargeting",IF(COUNTIFS('03_Chi_tieu'!$A$7:$A$96,A86,'03_Chi_tieu'!$G$7:$G$96,"&gt;=0")=0,"",SUMIF('03_Chi_tieu'!$A$7:$A$96,A86,'03_Chi_tieu'!$G$7:$G$96)),IF(B86="Other",IF(COUNTIFS('03_Chi_tieu'!$A$7:$A$96,A86,'03_Chi_tieu'!$H$7:$H$96,"&gt;=0")=0,"",SUMIF('03_Chi_tieu'!$A$7:$A$96,A86,'03_Chi_tieu'!$H$7:$H$96)),"")))))</f>
        <v/>
      </c>
      <c r="AB86">
        <f>IF(G86="","",IF(NOT(ISNUMBER(G86)),"Chi không hợp lệ",IF(OR(NOT(ISNUMBER(A86)),B86=""),"Thiếu ngày/kênh",IF(COUNTIFS($A$5:$A$104,A86,$B$5:$B$104,B86)&gt;1,"Trùng ngày/kênh",IF(AA86="","Thiếu nguồn hoặc kênh",IF(G86=AA86,"Khớp","Lệch"))))))</f>
        <v/>
      </c>
    </row>
    <row r="87">
      <c r="A87" s="137" t="n"/>
      <c r="B87" s="112" t="n"/>
      <c r="C87" s="112" t="n"/>
      <c r="D87" s="112" t="n"/>
      <c r="E87" s="112" t="n"/>
      <c r="F87" s="112" t="n"/>
      <c r="G87" s="138" t="n"/>
      <c r="H87" s="112" t="n"/>
      <c r="I87" s="112" t="n"/>
      <c r="J87" s="112" t="n"/>
      <c r="K87" s="112" t="n"/>
      <c r="L87" s="112" t="n"/>
      <c r="M87" s="112" t="n"/>
      <c r="N87" s="139">
        <f>IF(OR(NOT(ISNUMBER(E87)),E87&lt;=0,NOT(ISNUMBER(F87))),"",F87/E87)</f>
        <v/>
      </c>
      <c r="O87" s="139">
        <f>IF(OR(NOT(ISNUMBER(H87)),H87&lt;=0,NOT(ISNUMBER(I87))),"",I87/H87)</f>
        <v/>
      </c>
      <c r="P87" s="139">
        <f>IF(OR(NOT(ISNUMBER(K87)),K87&lt;=0,NOT(ISNUMBER(J87))),"",J87/K87)</f>
        <v/>
      </c>
      <c r="Q87" s="139">
        <f>IF(OR(NOT(ISNUMBER(M87)),M87&lt;=0,NOT(ISNUMBER(L87))),"",L87/M87)</f>
        <v/>
      </c>
      <c r="R87" s="140">
        <f>IF(OR(NOT(ISNUMBER(I87)),I87&lt;=0,NOT(ISNUMBER(G87))),"",G87/I87)</f>
        <v/>
      </c>
      <c r="S87" s="112" t="n"/>
      <c r="T87" s="112" t="n"/>
      <c r="U87" s="112" t="n"/>
      <c r="V87" s="140">
        <f>IF(OR(NOT(ISNUMBER(E87)),E87&lt;=0,NOT(ISNUMBER(G87))),"",1000*G87/E87)</f>
        <v/>
      </c>
      <c r="W87" s="140">
        <f>IF(OR(NOT(ISNUMBER(F87)),F87&lt;=0,NOT(ISNUMBER(G87))),"",G87/F87)</f>
        <v/>
      </c>
      <c r="X87" s="112" t="n"/>
      <c r="Y87" s="112" t="n"/>
      <c r="Z87" s="139">
        <f>IF(OR(NOT(ISNUMBER(X87)),X87&lt;=0,NOT(ISNUMBER(Y87))),"",Y87/X87)</f>
        <v/>
      </c>
      <c r="AA87" s="140">
        <f>IF(OR(NOT(ISNUMBER(A87)),B87=""),"",IF(B87="LinkedIn",IF(COUNTIFS('03_Chi_tieu'!$A$7:$A$96,A87,'03_Chi_tieu'!$E$7:$E$96,"&gt;=0")=0,"",SUMIF('03_Chi_tieu'!$A$7:$A$96,A87,'03_Chi_tieu'!$E$7:$E$96)),IF(B87="Search",IF(COUNTIFS('03_Chi_tieu'!$A$7:$A$96,A87,'03_Chi_tieu'!$F$7:$F$96,"&gt;=0")=0,"",SUMIF('03_Chi_tieu'!$A$7:$A$96,A87,'03_Chi_tieu'!$F$7:$F$96)),IF(B87="Retargeting",IF(COUNTIFS('03_Chi_tieu'!$A$7:$A$96,A87,'03_Chi_tieu'!$G$7:$G$96,"&gt;=0")=0,"",SUMIF('03_Chi_tieu'!$A$7:$A$96,A87,'03_Chi_tieu'!$G$7:$G$96)),IF(B87="Other",IF(COUNTIFS('03_Chi_tieu'!$A$7:$A$96,A87,'03_Chi_tieu'!$H$7:$H$96,"&gt;=0")=0,"",SUMIF('03_Chi_tieu'!$A$7:$A$96,A87,'03_Chi_tieu'!$H$7:$H$96)),"")))))</f>
        <v/>
      </c>
      <c r="AB87">
        <f>IF(G87="","",IF(NOT(ISNUMBER(G87)),"Chi không hợp lệ",IF(OR(NOT(ISNUMBER(A87)),B87=""),"Thiếu ngày/kênh",IF(COUNTIFS($A$5:$A$104,A87,$B$5:$B$104,B87)&gt;1,"Trùng ngày/kênh",IF(AA87="","Thiếu nguồn hoặc kênh",IF(G87=AA87,"Khớp","Lệch"))))))</f>
        <v/>
      </c>
    </row>
    <row r="88">
      <c r="A88" s="137" t="n"/>
      <c r="B88" s="112" t="n"/>
      <c r="C88" s="112" t="n"/>
      <c r="D88" s="112" t="n"/>
      <c r="E88" s="112" t="n"/>
      <c r="F88" s="112" t="n"/>
      <c r="G88" s="138" t="n"/>
      <c r="H88" s="112" t="n"/>
      <c r="I88" s="112" t="n"/>
      <c r="J88" s="112" t="n"/>
      <c r="K88" s="112" t="n"/>
      <c r="L88" s="112" t="n"/>
      <c r="M88" s="112" t="n"/>
      <c r="N88" s="139">
        <f>IF(OR(NOT(ISNUMBER(E88)),E88&lt;=0,NOT(ISNUMBER(F88))),"",F88/E88)</f>
        <v/>
      </c>
      <c r="O88" s="139">
        <f>IF(OR(NOT(ISNUMBER(H88)),H88&lt;=0,NOT(ISNUMBER(I88))),"",I88/H88)</f>
        <v/>
      </c>
      <c r="P88" s="139">
        <f>IF(OR(NOT(ISNUMBER(K88)),K88&lt;=0,NOT(ISNUMBER(J88))),"",J88/K88)</f>
        <v/>
      </c>
      <c r="Q88" s="139">
        <f>IF(OR(NOT(ISNUMBER(M88)),M88&lt;=0,NOT(ISNUMBER(L88))),"",L88/M88)</f>
        <v/>
      </c>
      <c r="R88" s="140">
        <f>IF(OR(NOT(ISNUMBER(I88)),I88&lt;=0,NOT(ISNUMBER(G88))),"",G88/I88)</f>
        <v/>
      </c>
      <c r="S88" s="112" t="n"/>
      <c r="T88" s="112" t="n"/>
      <c r="U88" s="112" t="n"/>
      <c r="V88" s="140">
        <f>IF(OR(NOT(ISNUMBER(E88)),E88&lt;=0,NOT(ISNUMBER(G88))),"",1000*G88/E88)</f>
        <v/>
      </c>
      <c r="W88" s="140">
        <f>IF(OR(NOT(ISNUMBER(F88)),F88&lt;=0,NOT(ISNUMBER(G88))),"",G88/F88)</f>
        <v/>
      </c>
      <c r="X88" s="112" t="n"/>
      <c r="Y88" s="112" t="n"/>
      <c r="Z88" s="139">
        <f>IF(OR(NOT(ISNUMBER(X88)),X88&lt;=0,NOT(ISNUMBER(Y88))),"",Y88/X88)</f>
        <v/>
      </c>
      <c r="AA88" s="140">
        <f>IF(OR(NOT(ISNUMBER(A88)),B88=""),"",IF(B88="LinkedIn",IF(COUNTIFS('03_Chi_tieu'!$A$7:$A$96,A88,'03_Chi_tieu'!$E$7:$E$96,"&gt;=0")=0,"",SUMIF('03_Chi_tieu'!$A$7:$A$96,A88,'03_Chi_tieu'!$E$7:$E$96)),IF(B88="Search",IF(COUNTIFS('03_Chi_tieu'!$A$7:$A$96,A88,'03_Chi_tieu'!$F$7:$F$96,"&gt;=0")=0,"",SUMIF('03_Chi_tieu'!$A$7:$A$96,A88,'03_Chi_tieu'!$F$7:$F$96)),IF(B88="Retargeting",IF(COUNTIFS('03_Chi_tieu'!$A$7:$A$96,A88,'03_Chi_tieu'!$G$7:$G$96,"&gt;=0")=0,"",SUMIF('03_Chi_tieu'!$A$7:$A$96,A88,'03_Chi_tieu'!$G$7:$G$96)),IF(B88="Other",IF(COUNTIFS('03_Chi_tieu'!$A$7:$A$96,A88,'03_Chi_tieu'!$H$7:$H$96,"&gt;=0")=0,"",SUMIF('03_Chi_tieu'!$A$7:$A$96,A88,'03_Chi_tieu'!$H$7:$H$96)),"")))))</f>
        <v/>
      </c>
      <c r="AB88">
        <f>IF(G88="","",IF(NOT(ISNUMBER(G88)),"Chi không hợp lệ",IF(OR(NOT(ISNUMBER(A88)),B88=""),"Thiếu ngày/kênh",IF(COUNTIFS($A$5:$A$104,A88,$B$5:$B$104,B88)&gt;1,"Trùng ngày/kênh",IF(AA88="","Thiếu nguồn hoặc kênh",IF(G88=AA88,"Khớp","Lệch"))))))</f>
        <v/>
      </c>
    </row>
    <row r="89">
      <c r="A89" s="137" t="n"/>
      <c r="B89" s="112" t="n"/>
      <c r="C89" s="112" t="n"/>
      <c r="D89" s="112" t="n"/>
      <c r="E89" s="112" t="n"/>
      <c r="F89" s="112" t="n"/>
      <c r="G89" s="138" t="n"/>
      <c r="H89" s="112" t="n"/>
      <c r="I89" s="112" t="n"/>
      <c r="J89" s="112" t="n"/>
      <c r="K89" s="112" t="n"/>
      <c r="L89" s="112" t="n"/>
      <c r="M89" s="112" t="n"/>
      <c r="N89" s="139">
        <f>IF(OR(NOT(ISNUMBER(E89)),E89&lt;=0,NOT(ISNUMBER(F89))),"",F89/E89)</f>
        <v/>
      </c>
      <c r="O89" s="139">
        <f>IF(OR(NOT(ISNUMBER(H89)),H89&lt;=0,NOT(ISNUMBER(I89))),"",I89/H89)</f>
        <v/>
      </c>
      <c r="P89" s="139">
        <f>IF(OR(NOT(ISNUMBER(K89)),K89&lt;=0,NOT(ISNUMBER(J89))),"",J89/K89)</f>
        <v/>
      </c>
      <c r="Q89" s="139">
        <f>IF(OR(NOT(ISNUMBER(M89)),M89&lt;=0,NOT(ISNUMBER(L89))),"",L89/M89)</f>
        <v/>
      </c>
      <c r="R89" s="140">
        <f>IF(OR(NOT(ISNUMBER(I89)),I89&lt;=0,NOT(ISNUMBER(G89))),"",G89/I89)</f>
        <v/>
      </c>
      <c r="S89" s="112" t="n"/>
      <c r="T89" s="112" t="n"/>
      <c r="U89" s="112" t="n"/>
      <c r="V89" s="140">
        <f>IF(OR(NOT(ISNUMBER(E89)),E89&lt;=0,NOT(ISNUMBER(G89))),"",1000*G89/E89)</f>
        <v/>
      </c>
      <c r="W89" s="140">
        <f>IF(OR(NOT(ISNUMBER(F89)),F89&lt;=0,NOT(ISNUMBER(G89))),"",G89/F89)</f>
        <v/>
      </c>
      <c r="X89" s="112" t="n"/>
      <c r="Y89" s="112" t="n"/>
      <c r="Z89" s="139">
        <f>IF(OR(NOT(ISNUMBER(X89)),X89&lt;=0,NOT(ISNUMBER(Y89))),"",Y89/X89)</f>
        <v/>
      </c>
      <c r="AA89" s="140">
        <f>IF(OR(NOT(ISNUMBER(A89)),B89=""),"",IF(B89="LinkedIn",IF(COUNTIFS('03_Chi_tieu'!$A$7:$A$96,A89,'03_Chi_tieu'!$E$7:$E$96,"&gt;=0")=0,"",SUMIF('03_Chi_tieu'!$A$7:$A$96,A89,'03_Chi_tieu'!$E$7:$E$96)),IF(B89="Search",IF(COUNTIFS('03_Chi_tieu'!$A$7:$A$96,A89,'03_Chi_tieu'!$F$7:$F$96,"&gt;=0")=0,"",SUMIF('03_Chi_tieu'!$A$7:$A$96,A89,'03_Chi_tieu'!$F$7:$F$96)),IF(B89="Retargeting",IF(COUNTIFS('03_Chi_tieu'!$A$7:$A$96,A89,'03_Chi_tieu'!$G$7:$G$96,"&gt;=0")=0,"",SUMIF('03_Chi_tieu'!$A$7:$A$96,A89,'03_Chi_tieu'!$G$7:$G$96)),IF(B89="Other",IF(COUNTIFS('03_Chi_tieu'!$A$7:$A$96,A89,'03_Chi_tieu'!$H$7:$H$96,"&gt;=0")=0,"",SUMIF('03_Chi_tieu'!$A$7:$A$96,A89,'03_Chi_tieu'!$H$7:$H$96)),"")))))</f>
        <v/>
      </c>
      <c r="AB89">
        <f>IF(G89="","",IF(NOT(ISNUMBER(G89)),"Chi không hợp lệ",IF(OR(NOT(ISNUMBER(A89)),B89=""),"Thiếu ngày/kênh",IF(COUNTIFS($A$5:$A$104,A89,$B$5:$B$104,B89)&gt;1,"Trùng ngày/kênh",IF(AA89="","Thiếu nguồn hoặc kênh",IF(G89=AA89,"Khớp","Lệch"))))))</f>
        <v/>
      </c>
    </row>
    <row r="90">
      <c r="A90" s="137" t="n"/>
      <c r="B90" s="112" t="n"/>
      <c r="C90" s="112" t="n"/>
      <c r="D90" s="112" t="n"/>
      <c r="E90" s="112" t="n"/>
      <c r="F90" s="112" t="n"/>
      <c r="G90" s="138" t="n"/>
      <c r="H90" s="112" t="n"/>
      <c r="I90" s="112" t="n"/>
      <c r="J90" s="112" t="n"/>
      <c r="K90" s="112" t="n"/>
      <c r="L90" s="112" t="n"/>
      <c r="M90" s="112" t="n"/>
      <c r="N90" s="139">
        <f>IF(OR(NOT(ISNUMBER(E90)),E90&lt;=0,NOT(ISNUMBER(F90))),"",F90/E90)</f>
        <v/>
      </c>
      <c r="O90" s="139">
        <f>IF(OR(NOT(ISNUMBER(H90)),H90&lt;=0,NOT(ISNUMBER(I90))),"",I90/H90)</f>
        <v/>
      </c>
      <c r="P90" s="139">
        <f>IF(OR(NOT(ISNUMBER(K90)),K90&lt;=0,NOT(ISNUMBER(J90))),"",J90/K90)</f>
        <v/>
      </c>
      <c r="Q90" s="139">
        <f>IF(OR(NOT(ISNUMBER(M90)),M90&lt;=0,NOT(ISNUMBER(L90))),"",L90/M90)</f>
        <v/>
      </c>
      <c r="R90" s="140">
        <f>IF(OR(NOT(ISNUMBER(I90)),I90&lt;=0,NOT(ISNUMBER(G90))),"",G90/I90)</f>
        <v/>
      </c>
      <c r="S90" s="112" t="n"/>
      <c r="T90" s="112" t="n"/>
      <c r="U90" s="112" t="n"/>
      <c r="V90" s="140">
        <f>IF(OR(NOT(ISNUMBER(E90)),E90&lt;=0,NOT(ISNUMBER(G90))),"",1000*G90/E90)</f>
        <v/>
      </c>
      <c r="W90" s="140">
        <f>IF(OR(NOT(ISNUMBER(F90)),F90&lt;=0,NOT(ISNUMBER(G90))),"",G90/F90)</f>
        <v/>
      </c>
      <c r="X90" s="112" t="n"/>
      <c r="Y90" s="112" t="n"/>
      <c r="Z90" s="139">
        <f>IF(OR(NOT(ISNUMBER(X90)),X90&lt;=0,NOT(ISNUMBER(Y90))),"",Y90/X90)</f>
        <v/>
      </c>
      <c r="AA90" s="140">
        <f>IF(OR(NOT(ISNUMBER(A90)),B90=""),"",IF(B90="LinkedIn",IF(COUNTIFS('03_Chi_tieu'!$A$7:$A$96,A90,'03_Chi_tieu'!$E$7:$E$96,"&gt;=0")=0,"",SUMIF('03_Chi_tieu'!$A$7:$A$96,A90,'03_Chi_tieu'!$E$7:$E$96)),IF(B90="Search",IF(COUNTIFS('03_Chi_tieu'!$A$7:$A$96,A90,'03_Chi_tieu'!$F$7:$F$96,"&gt;=0")=0,"",SUMIF('03_Chi_tieu'!$A$7:$A$96,A90,'03_Chi_tieu'!$F$7:$F$96)),IF(B90="Retargeting",IF(COUNTIFS('03_Chi_tieu'!$A$7:$A$96,A90,'03_Chi_tieu'!$G$7:$G$96,"&gt;=0")=0,"",SUMIF('03_Chi_tieu'!$A$7:$A$96,A90,'03_Chi_tieu'!$G$7:$G$96)),IF(B90="Other",IF(COUNTIFS('03_Chi_tieu'!$A$7:$A$96,A90,'03_Chi_tieu'!$H$7:$H$96,"&gt;=0")=0,"",SUMIF('03_Chi_tieu'!$A$7:$A$96,A90,'03_Chi_tieu'!$H$7:$H$96)),"")))))</f>
        <v/>
      </c>
      <c r="AB90">
        <f>IF(G90="","",IF(NOT(ISNUMBER(G90)),"Chi không hợp lệ",IF(OR(NOT(ISNUMBER(A90)),B90=""),"Thiếu ngày/kênh",IF(COUNTIFS($A$5:$A$104,A90,$B$5:$B$104,B90)&gt;1,"Trùng ngày/kênh",IF(AA90="","Thiếu nguồn hoặc kênh",IF(G90=AA90,"Khớp","Lệch"))))))</f>
        <v/>
      </c>
    </row>
    <row r="91">
      <c r="A91" s="137" t="n"/>
      <c r="B91" s="112" t="n"/>
      <c r="C91" s="112" t="n"/>
      <c r="D91" s="112" t="n"/>
      <c r="E91" s="112" t="n"/>
      <c r="F91" s="112" t="n"/>
      <c r="G91" s="138" t="n"/>
      <c r="H91" s="112" t="n"/>
      <c r="I91" s="112" t="n"/>
      <c r="J91" s="112" t="n"/>
      <c r="K91" s="112" t="n"/>
      <c r="L91" s="112" t="n"/>
      <c r="M91" s="112" t="n"/>
      <c r="N91" s="139">
        <f>IF(OR(NOT(ISNUMBER(E91)),E91&lt;=0,NOT(ISNUMBER(F91))),"",F91/E91)</f>
        <v/>
      </c>
      <c r="O91" s="139">
        <f>IF(OR(NOT(ISNUMBER(H91)),H91&lt;=0,NOT(ISNUMBER(I91))),"",I91/H91)</f>
        <v/>
      </c>
      <c r="P91" s="139">
        <f>IF(OR(NOT(ISNUMBER(K91)),K91&lt;=0,NOT(ISNUMBER(J91))),"",J91/K91)</f>
        <v/>
      </c>
      <c r="Q91" s="139">
        <f>IF(OR(NOT(ISNUMBER(M91)),M91&lt;=0,NOT(ISNUMBER(L91))),"",L91/M91)</f>
        <v/>
      </c>
      <c r="R91" s="140">
        <f>IF(OR(NOT(ISNUMBER(I91)),I91&lt;=0,NOT(ISNUMBER(G91))),"",G91/I91)</f>
        <v/>
      </c>
      <c r="S91" s="112" t="n"/>
      <c r="T91" s="112" t="n"/>
      <c r="U91" s="112" t="n"/>
      <c r="V91" s="140">
        <f>IF(OR(NOT(ISNUMBER(E91)),E91&lt;=0,NOT(ISNUMBER(G91))),"",1000*G91/E91)</f>
        <v/>
      </c>
      <c r="W91" s="140">
        <f>IF(OR(NOT(ISNUMBER(F91)),F91&lt;=0,NOT(ISNUMBER(G91))),"",G91/F91)</f>
        <v/>
      </c>
      <c r="X91" s="112" t="n"/>
      <c r="Y91" s="112" t="n"/>
      <c r="Z91" s="139">
        <f>IF(OR(NOT(ISNUMBER(X91)),X91&lt;=0,NOT(ISNUMBER(Y91))),"",Y91/X91)</f>
        <v/>
      </c>
      <c r="AA91" s="140">
        <f>IF(OR(NOT(ISNUMBER(A91)),B91=""),"",IF(B91="LinkedIn",IF(COUNTIFS('03_Chi_tieu'!$A$7:$A$96,A91,'03_Chi_tieu'!$E$7:$E$96,"&gt;=0")=0,"",SUMIF('03_Chi_tieu'!$A$7:$A$96,A91,'03_Chi_tieu'!$E$7:$E$96)),IF(B91="Search",IF(COUNTIFS('03_Chi_tieu'!$A$7:$A$96,A91,'03_Chi_tieu'!$F$7:$F$96,"&gt;=0")=0,"",SUMIF('03_Chi_tieu'!$A$7:$A$96,A91,'03_Chi_tieu'!$F$7:$F$96)),IF(B91="Retargeting",IF(COUNTIFS('03_Chi_tieu'!$A$7:$A$96,A91,'03_Chi_tieu'!$G$7:$G$96,"&gt;=0")=0,"",SUMIF('03_Chi_tieu'!$A$7:$A$96,A91,'03_Chi_tieu'!$G$7:$G$96)),IF(B91="Other",IF(COUNTIFS('03_Chi_tieu'!$A$7:$A$96,A91,'03_Chi_tieu'!$H$7:$H$96,"&gt;=0")=0,"",SUMIF('03_Chi_tieu'!$A$7:$A$96,A91,'03_Chi_tieu'!$H$7:$H$96)),"")))))</f>
        <v/>
      </c>
      <c r="AB91">
        <f>IF(G91="","",IF(NOT(ISNUMBER(G91)),"Chi không hợp lệ",IF(OR(NOT(ISNUMBER(A91)),B91=""),"Thiếu ngày/kênh",IF(COUNTIFS($A$5:$A$104,A91,$B$5:$B$104,B91)&gt;1,"Trùng ngày/kênh",IF(AA91="","Thiếu nguồn hoặc kênh",IF(G91=AA91,"Khớp","Lệch"))))))</f>
        <v/>
      </c>
    </row>
    <row r="92">
      <c r="A92" s="137" t="n"/>
      <c r="B92" s="112" t="n"/>
      <c r="C92" s="112" t="n"/>
      <c r="D92" s="112" t="n"/>
      <c r="E92" s="112" t="n"/>
      <c r="F92" s="112" t="n"/>
      <c r="G92" s="138" t="n"/>
      <c r="H92" s="112" t="n"/>
      <c r="I92" s="112" t="n"/>
      <c r="J92" s="112" t="n"/>
      <c r="K92" s="112" t="n"/>
      <c r="L92" s="112" t="n"/>
      <c r="M92" s="112" t="n"/>
      <c r="N92" s="139">
        <f>IF(OR(NOT(ISNUMBER(E92)),E92&lt;=0,NOT(ISNUMBER(F92))),"",F92/E92)</f>
        <v/>
      </c>
      <c r="O92" s="139">
        <f>IF(OR(NOT(ISNUMBER(H92)),H92&lt;=0,NOT(ISNUMBER(I92))),"",I92/H92)</f>
        <v/>
      </c>
      <c r="P92" s="139">
        <f>IF(OR(NOT(ISNUMBER(K92)),K92&lt;=0,NOT(ISNUMBER(J92))),"",J92/K92)</f>
        <v/>
      </c>
      <c r="Q92" s="139">
        <f>IF(OR(NOT(ISNUMBER(M92)),M92&lt;=0,NOT(ISNUMBER(L92))),"",L92/M92)</f>
        <v/>
      </c>
      <c r="R92" s="140">
        <f>IF(OR(NOT(ISNUMBER(I92)),I92&lt;=0,NOT(ISNUMBER(G92))),"",G92/I92)</f>
        <v/>
      </c>
      <c r="S92" s="112" t="n"/>
      <c r="T92" s="112" t="n"/>
      <c r="U92" s="112" t="n"/>
      <c r="V92" s="140">
        <f>IF(OR(NOT(ISNUMBER(E92)),E92&lt;=0,NOT(ISNUMBER(G92))),"",1000*G92/E92)</f>
        <v/>
      </c>
      <c r="W92" s="140">
        <f>IF(OR(NOT(ISNUMBER(F92)),F92&lt;=0,NOT(ISNUMBER(G92))),"",G92/F92)</f>
        <v/>
      </c>
      <c r="X92" s="112" t="n"/>
      <c r="Y92" s="112" t="n"/>
      <c r="Z92" s="139">
        <f>IF(OR(NOT(ISNUMBER(X92)),X92&lt;=0,NOT(ISNUMBER(Y92))),"",Y92/X92)</f>
        <v/>
      </c>
      <c r="AA92" s="140">
        <f>IF(OR(NOT(ISNUMBER(A92)),B92=""),"",IF(B92="LinkedIn",IF(COUNTIFS('03_Chi_tieu'!$A$7:$A$96,A92,'03_Chi_tieu'!$E$7:$E$96,"&gt;=0")=0,"",SUMIF('03_Chi_tieu'!$A$7:$A$96,A92,'03_Chi_tieu'!$E$7:$E$96)),IF(B92="Search",IF(COUNTIFS('03_Chi_tieu'!$A$7:$A$96,A92,'03_Chi_tieu'!$F$7:$F$96,"&gt;=0")=0,"",SUMIF('03_Chi_tieu'!$A$7:$A$96,A92,'03_Chi_tieu'!$F$7:$F$96)),IF(B92="Retargeting",IF(COUNTIFS('03_Chi_tieu'!$A$7:$A$96,A92,'03_Chi_tieu'!$G$7:$G$96,"&gt;=0")=0,"",SUMIF('03_Chi_tieu'!$A$7:$A$96,A92,'03_Chi_tieu'!$G$7:$G$96)),IF(B92="Other",IF(COUNTIFS('03_Chi_tieu'!$A$7:$A$96,A92,'03_Chi_tieu'!$H$7:$H$96,"&gt;=0")=0,"",SUMIF('03_Chi_tieu'!$A$7:$A$96,A92,'03_Chi_tieu'!$H$7:$H$96)),"")))))</f>
        <v/>
      </c>
      <c r="AB92">
        <f>IF(G92="","",IF(NOT(ISNUMBER(G92)),"Chi không hợp lệ",IF(OR(NOT(ISNUMBER(A92)),B92=""),"Thiếu ngày/kênh",IF(COUNTIFS($A$5:$A$104,A92,$B$5:$B$104,B92)&gt;1,"Trùng ngày/kênh",IF(AA92="","Thiếu nguồn hoặc kênh",IF(G92=AA92,"Khớp","Lệch"))))))</f>
        <v/>
      </c>
    </row>
    <row r="93">
      <c r="A93" s="137" t="n"/>
      <c r="B93" s="112" t="n"/>
      <c r="C93" s="112" t="n"/>
      <c r="D93" s="112" t="n"/>
      <c r="E93" s="112" t="n"/>
      <c r="F93" s="112" t="n"/>
      <c r="G93" s="138" t="n"/>
      <c r="H93" s="112" t="n"/>
      <c r="I93" s="112" t="n"/>
      <c r="J93" s="112" t="n"/>
      <c r="K93" s="112" t="n"/>
      <c r="L93" s="112" t="n"/>
      <c r="M93" s="112" t="n"/>
      <c r="N93" s="139">
        <f>IF(OR(NOT(ISNUMBER(E93)),E93&lt;=0,NOT(ISNUMBER(F93))),"",F93/E93)</f>
        <v/>
      </c>
      <c r="O93" s="139">
        <f>IF(OR(NOT(ISNUMBER(H93)),H93&lt;=0,NOT(ISNUMBER(I93))),"",I93/H93)</f>
        <v/>
      </c>
      <c r="P93" s="139">
        <f>IF(OR(NOT(ISNUMBER(K93)),K93&lt;=0,NOT(ISNUMBER(J93))),"",J93/K93)</f>
        <v/>
      </c>
      <c r="Q93" s="139">
        <f>IF(OR(NOT(ISNUMBER(M93)),M93&lt;=0,NOT(ISNUMBER(L93))),"",L93/M93)</f>
        <v/>
      </c>
      <c r="R93" s="140">
        <f>IF(OR(NOT(ISNUMBER(I93)),I93&lt;=0,NOT(ISNUMBER(G93))),"",G93/I93)</f>
        <v/>
      </c>
      <c r="S93" s="112" t="n"/>
      <c r="T93" s="112" t="n"/>
      <c r="U93" s="112" t="n"/>
      <c r="V93" s="140">
        <f>IF(OR(NOT(ISNUMBER(E93)),E93&lt;=0,NOT(ISNUMBER(G93))),"",1000*G93/E93)</f>
        <v/>
      </c>
      <c r="W93" s="140">
        <f>IF(OR(NOT(ISNUMBER(F93)),F93&lt;=0,NOT(ISNUMBER(G93))),"",G93/F93)</f>
        <v/>
      </c>
      <c r="X93" s="112" t="n"/>
      <c r="Y93" s="112" t="n"/>
      <c r="Z93" s="139">
        <f>IF(OR(NOT(ISNUMBER(X93)),X93&lt;=0,NOT(ISNUMBER(Y93))),"",Y93/X93)</f>
        <v/>
      </c>
      <c r="AA93" s="140">
        <f>IF(OR(NOT(ISNUMBER(A93)),B93=""),"",IF(B93="LinkedIn",IF(COUNTIFS('03_Chi_tieu'!$A$7:$A$96,A93,'03_Chi_tieu'!$E$7:$E$96,"&gt;=0")=0,"",SUMIF('03_Chi_tieu'!$A$7:$A$96,A93,'03_Chi_tieu'!$E$7:$E$96)),IF(B93="Search",IF(COUNTIFS('03_Chi_tieu'!$A$7:$A$96,A93,'03_Chi_tieu'!$F$7:$F$96,"&gt;=0")=0,"",SUMIF('03_Chi_tieu'!$A$7:$A$96,A93,'03_Chi_tieu'!$F$7:$F$96)),IF(B93="Retargeting",IF(COUNTIFS('03_Chi_tieu'!$A$7:$A$96,A93,'03_Chi_tieu'!$G$7:$G$96,"&gt;=0")=0,"",SUMIF('03_Chi_tieu'!$A$7:$A$96,A93,'03_Chi_tieu'!$G$7:$G$96)),IF(B93="Other",IF(COUNTIFS('03_Chi_tieu'!$A$7:$A$96,A93,'03_Chi_tieu'!$H$7:$H$96,"&gt;=0")=0,"",SUMIF('03_Chi_tieu'!$A$7:$A$96,A93,'03_Chi_tieu'!$H$7:$H$96)),"")))))</f>
        <v/>
      </c>
      <c r="AB93">
        <f>IF(G93="","",IF(NOT(ISNUMBER(G93)),"Chi không hợp lệ",IF(OR(NOT(ISNUMBER(A93)),B93=""),"Thiếu ngày/kênh",IF(COUNTIFS($A$5:$A$104,A93,$B$5:$B$104,B93)&gt;1,"Trùng ngày/kênh",IF(AA93="","Thiếu nguồn hoặc kênh",IF(G93=AA93,"Khớp","Lệch"))))))</f>
        <v/>
      </c>
    </row>
    <row r="94">
      <c r="A94" s="137" t="n"/>
      <c r="B94" s="112" t="n"/>
      <c r="C94" s="112" t="n"/>
      <c r="D94" s="112" t="n"/>
      <c r="E94" s="112" t="n"/>
      <c r="F94" s="112" t="n"/>
      <c r="G94" s="138" t="n"/>
      <c r="H94" s="112" t="n"/>
      <c r="I94" s="112" t="n"/>
      <c r="J94" s="112" t="n"/>
      <c r="K94" s="112" t="n"/>
      <c r="L94" s="112" t="n"/>
      <c r="M94" s="112" t="n"/>
      <c r="N94" s="139">
        <f>IF(OR(NOT(ISNUMBER(E94)),E94&lt;=0,NOT(ISNUMBER(F94))),"",F94/E94)</f>
        <v/>
      </c>
      <c r="O94" s="139">
        <f>IF(OR(NOT(ISNUMBER(H94)),H94&lt;=0,NOT(ISNUMBER(I94))),"",I94/H94)</f>
        <v/>
      </c>
      <c r="P94" s="139">
        <f>IF(OR(NOT(ISNUMBER(K94)),K94&lt;=0,NOT(ISNUMBER(J94))),"",J94/K94)</f>
        <v/>
      </c>
      <c r="Q94" s="139">
        <f>IF(OR(NOT(ISNUMBER(M94)),M94&lt;=0,NOT(ISNUMBER(L94))),"",L94/M94)</f>
        <v/>
      </c>
      <c r="R94" s="140">
        <f>IF(OR(NOT(ISNUMBER(I94)),I94&lt;=0,NOT(ISNUMBER(G94))),"",G94/I94)</f>
        <v/>
      </c>
      <c r="S94" s="112" t="n"/>
      <c r="T94" s="112" t="n"/>
      <c r="U94" s="112" t="n"/>
      <c r="V94" s="140">
        <f>IF(OR(NOT(ISNUMBER(E94)),E94&lt;=0,NOT(ISNUMBER(G94))),"",1000*G94/E94)</f>
        <v/>
      </c>
      <c r="W94" s="140">
        <f>IF(OR(NOT(ISNUMBER(F94)),F94&lt;=0,NOT(ISNUMBER(G94))),"",G94/F94)</f>
        <v/>
      </c>
      <c r="X94" s="112" t="n"/>
      <c r="Y94" s="112" t="n"/>
      <c r="Z94" s="139">
        <f>IF(OR(NOT(ISNUMBER(X94)),X94&lt;=0,NOT(ISNUMBER(Y94))),"",Y94/X94)</f>
        <v/>
      </c>
      <c r="AA94" s="140">
        <f>IF(OR(NOT(ISNUMBER(A94)),B94=""),"",IF(B94="LinkedIn",IF(COUNTIFS('03_Chi_tieu'!$A$7:$A$96,A94,'03_Chi_tieu'!$E$7:$E$96,"&gt;=0")=0,"",SUMIF('03_Chi_tieu'!$A$7:$A$96,A94,'03_Chi_tieu'!$E$7:$E$96)),IF(B94="Search",IF(COUNTIFS('03_Chi_tieu'!$A$7:$A$96,A94,'03_Chi_tieu'!$F$7:$F$96,"&gt;=0")=0,"",SUMIF('03_Chi_tieu'!$A$7:$A$96,A94,'03_Chi_tieu'!$F$7:$F$96)),IF(B94="Retargeting",IF(COUNTIFS('03_Chi_tieu'!$A$7:$A$96,A94,'03_Chi_tieu'!$G$7:$G$96,"&gt;=0")=0,"",SUMIF('03_Chi_tieu'!$A$7:$A$96,A94,'03_Chi_tieu'!$G$7:$G$96)),IF(B94="Other",IF(COUNTIFS('03_Chi_tieu'!$A$7:$A$96,A94,'03_Chi_tieu'!$H$7:$H$96,"&gt;=0")=0,"",SUMIF('03_Chi_tieu'!$A$7:$A$96,A94,'03_Chi_tieu'!$H$7:$H$96)),"")))))</f>
        <v/>
      </c>
      <c r="AB94">
        <f>IF(G94="","",IF(NOT(ISNUMBER(G94)),"Chi không hợp lệ",IF(OR(NOT(ISNUMBER(A94)),B94=""),"Thiếu ngày/kênh",IF(COUNTIFS($A$5:$A$104,A94,$B$5:$B$104,B94)&gt;1,"Trùng ngày/kênh",IF(AA94="","Thiếu nguồn hoặc kênh",IF(G94=AA94,"Khớp","Lệch"))))))</f>
        <v/>
      </c>
    </row>
    <row r="95">
      <c r="A95" s="137" t="n"/>
      <c r="B95" s="112" t="n"/>
      <c r="C95" s="112" t="n"/>
      <c r="D95" s="112" t="n"/>
      <c r="E95" s="112" t="n"/>
      <c r="F95" s="112" t="n"/>
      <c r="G95" s="138" t="n"/>
      <c r="H95" s="112" t="n"/>
      <c r="I95" s="112" t="n"/>
      <c r="J95" s="112" t="n"/>
      <c r="K95" s="112" t="n"/>
      <c r="L95" s="112" t="n"/>
      <c r="M95" s="112" t="n"/>
      <c r="N95" s="139">
        <f>IF(OR(NOT(ISNUMBER(E95)),E95&lt;=0,NOT(ISNUMBER(F95))),"",F95/E95)</f>
        <v/>
      </c>
      <c r="O95" s="139">
        <f>IF(OR(NOT(ISNUMBER(H95)),H95&lt;=0,NOT(ISNUMBER(I95))),"",I95/H95)</f>
        <v/>
      </c>
      <c r="P95" s="139">
        <f>IF(OR(NOT(ISNUMBER(K95)),K95&lt;=0,NOT(ISNUMBER(J95))),"",J95/K95)</f>
        <v/>
      </c>
      <c r="Q95" s="139">
        <f>IF(OR(NOT(ISNUMBER(M95)),M95&lt;=0,NOT(ISNUMBER(L95))),"",L95/M95)</f>
        <v/>
      </c>
      <c r="R95" s="140">
        <f>IF(OR(NOT(ISNUMBER(I95)),I95&lt;=0,NOT(ISNUMBER(G95))),"",G95/I95)</f>
        <v/>
      </c>
      <c r="S95" s="112" t="n"/>
      <c r="T95" s="112" t="n"/>
      <c r="U95" s="112" t="n"/>
      <c r="V95" s="140">
        <f>IF(OR(NOT(ISNUMBER(E95)),E95&lt;=0,NOT(ISNUMBER(G95))),"",1000*G95/E95)</f>
        <v/>
      </c>
      <c r="W95" s="140">
        <f>IF(OR(NOT(ISNUMBER(F95)),F95&lt;=0,NOT(ISNUMBER(G95))),"",G95/F95)</f>
        <v/>
      </c>
      <c r="X95" s="112" t="n"/>
      <c r="Y95" s="112" t="n"/>
      <c r="Z95" s="139">
        <f>IF(OR(NOT(ISNUMBER(X95)),X95&lt;=0,NOT(ISNUMBER(Y95))),"",Y95/X95)</f>
        <v/>
      </c>
      <c r="AA95" s="140">
        <f>IF(OR(NOT(ISNUMBER(A95)),B95=""),"",IF(B95="LinkedIn",IF(COUNTIFS('03_Chi_tieu'!$A$7:$A$96,A95,'03_Chi_tieu'!$E$7:$E$96,"&gt;=0")=0,"",SUMIF('03_Chi_tieu'!$A$7:$A$96,A95,'03_Chi_tieu'!$E$7:$E$96)),IF(B95="Search",IF(COUNTIFS('03_Chi_tieu'!$A$7:$A$96,A95,'03_Chi_tieu'!$F$7:$F$96,"&gt;=0")=0,"",SUMIF('03_Chi_tieu'!$A$7:$A$96,A95,'03_Chi_tieu'!$F$7:$F$96)),IF(B95="Retargeting",IF(COUNTIFS('03_Chi_tieu'!$A$7:$A$96,A95,'03_Chi_tieu'!$G$7:$G$96,"&gt;=0")=0,"",SUMIF('03_Chi_tieu'!$A$7:$A$96,A95,'03_Chi_tieu'!$G$7:$G$96)),IF(B95="Other",IF(COUNTIFS('03_Chi_tieu'!$A$7:$A$96,A95,'03_Chi_tieu'!$H$7:$H$96,"&gt;=0")=0,"",SUMIF('03_Chi_tieu'!$A$7:$A$96,A95,'03_Chi_tieu'!$H$7:$H$96)),"")))))</f>
        <v/>
      </c>
      <c r="AB95">
        <f>IF(G95="","",IF(NOT(ISNUMBER(G95)),"Chi không hợp lệ",IF(OR(NOT(ISNUMBER(A95)),B95=""),"Thiếu ngày/kênh",IF(COUNTIFS($A$5:$A$104,A95,$B$5:$B$104,B95)&gt;1,"Trùng ngày/kênh",IF(AA95="","Thiếu nguồn hoặc kênh",IF(G95=AA95,"Khớp","Lệch"))))))</f>
        <v/>
      </c>
    </row>
    <row r="96">
      <c r="A96" s="137" t="n"/>
      <c r="B96" s="112" t="n"/>
      <c r="C96" s="112" t="n"/>
      <c r="D96" s="112" t="n"/>
      <c r="E96" s="112" t="n"/>
      <c r="F96" s="112" t="n"/>
      <c r="G96" s="138" t="n"/>
      <c r="H96" s="112" t="n"/>
      <c r="I96" s="112" t="n"/>
      <c r="J96" s="112" t="n"/>
      <c r="K96" s="112" t="n"/>
      <c r="L96" s="112" t="n"/>
      <c r="M96" s="112" t="n"/>
      <c r="N96" s="139">
        <f>IF(OR(NOT(ISNUMBER(E96)),E96&lt;=0,NOT(ISNUMBER(F96))),"",F96/E96)</f>
        <v/>
      </c>
      <c r="O96" s="139">
        <f>IF(OR(NOT(ISNUMBER(H96)),H96&lt;=0,NOT(ISNUMBER(I96))),"",I96/H96)</f>
        <v/>
      </c>
      <c r="P96" s="139">
        <f>IF(OR(NOT(ISNUMBER(K96)),K96&lt;=0,NOT(ISNUMBER(J96))),"",J96/K96)</f>
        <v/>
      </c>
      <c r="Q96" s="139">
        <f>IF(OR(NOT(ISNUMBER(M96)),M96&lt;=0,NOT(ISNUMBER(L96))),"",L96/M96)</f>
        <v/>
      </c>
      <c r="R96" s="140">
        <f>IF(OR(NOT(ISNUMBER(I96)),I96&lt;=0,NOT(ISNUMBER(G96))),"",G96/I96)</f>
        <v/>
      </c>
      <c r="S96" s="112" t="n"/>
      <c r="T96" s="112" t="n"/>
      <c r="U96" s="112" t="n"/>
      <c r="V96" s="140">
        <f>IF(OR(NOT(ISNUMBER(E96)),E96&lt;=0,NOT(ISNUMBER(G96))),"",1000*G96/E96)</f>
        <v/>
      </c>
      <c r="W96" s="140">
        <f>IF(OR(NOT(ISNUMBER(F96)),F96&lt;=0,NOT(ISNUMBER(G96))),"",G96/F96)</f>
        <v/>
      </c>
      <c r="X96" s="112" t="n"/>
      <c r="Y96" s="112" t="n"/>
      <c r="Z96" s="139">
        <f>IF(OR(NOT(ISNUMBER(X96)),X96&lt;=0,NOT(ISNUMBER(Y96))),"",Y96/X96)</f>
        <v/>
      </c>
      <c r="AA96" s="140">
        <f>IF(OR(NOT(ISNUMBER(A96)),B96=""),"",IF(B96="LinkedIn",IF(COUNTIFS('03_Chi_tieu'!$A$7:$A$96,A96,'03_Chi_tieu'!$E$7:$E$96,"&gt;=0")=0,"",SUMIF('03_Chi_tieu'!$A$7:$A$96,A96,'03_Chi_tieu'!$E$7:$E$96)),IF(B96="Search",IF(COUNTIFS('03_Chi_tieu'!$A$7:$A$96,A96,'03_Chi_tieu'!$F$7:$F$96,"&gt;=0")=0,"",SUMIF('03_Chi_tieu'!$A$7:$A$96,A96,'03_Chi_tieu'!$F$7:$F$96)),IF(B96="Retargeting",IF(COUNTIFS('03_Chi_tieu'!$A$7:$A$96,A96,'03_Chi_tieu'!$G$7:$G$96,"&gt;=0")=0,"",SUMIF('03_Chi_tieu'!$A$7:$A$96,A96,'03_Chi_tieu'!$G$7:$G$96)),IF(B96="Other",IF(COUNTIFS('03_Chi_tieu'!$A$7:$A$96,A96,'03_Chi_tieu'!$H$7:$H$96,"&gt;=0")=0,"",SUMIF('03_Chi_tieu'!$A$7:$A$96,A96,'03_Chi_tieu'!$H$7:$H$96)),"")))))</f>
        <v/>
      </c>
      <c r="AB96">
        <f>IF(G96="","",IF(NOT(ISNUMBER(G96)),"Chi không hợp lệ",IF(OR(NOT(ISNUMBER(A96)),B96=""),"Thiếu ngày/kênh",IF(COUNTIFS($A$5:$A$104,A96,$B$5:$B$104,B96)&gt;1,"Trùng ngày/kênh",IF(AA96="","Thiếu nguồn hoặc kênh",IF(G96=AA96,"Khớp","Lệch"))))))</f>
        <v/>
      </c>
    </row>
    <row r="97">
      <c r="A97" s="137" t="n"/>
      <c r="B97" s="112" t="n"/>
      <c r="C97" s="112" t="n"/>
      <c r="D97" s="112" t="n"/>
      <c r="E97" s="112" t="n"/>
      <c r="F97" s="112" t="n"/>
      <c r="G97" s="138" t="n"/>
      <c r="H97" s="112" t="n"/>
      <c r="I97" s="112" t="n"/>
      <c r="J97" s="112" t="n"/>
      <c r="K97" s="112" t="n"/>
      <c r="L97" s="112" t="n"/>
      <c r="M97" s="112" t="n"/>
      <c r="N97" s="139">
        <f>IF(OR(NOT(ISNUMBER(E97)),E97&lt;=0,NOT(ISNUMBER(F97))),"",F97/E97)</f>
        <v/>
      </c>
      <c r="O97" s="139">
        <f>IF(OR(NOT(ISNUMBER(H97)),H97&lt;=0,NOT(ISNUMBER(I97))),"",I97/H97)</f>
        <v/>
      </c>
      <c r="P97" s="139">
        <f>IF(OR(NOT(ISNUMBER(K97)),K97&lt;=0,NOT(ISNUMBER(J97))),"",J97/K97)</f>
        <v/>
      </c>
      <c r="Q97" s="139">
        <f>IF(OR(NOT(ISNUMBER(M97)),M97&lt;=0,NOT(ISNUMBER(L97))),"",L97/M97)</f>
        <v/>
      </c>
      <c r="R97" s="140">
        <f>IF(OR(NOT(ISNUMBER(I97)),I97&lt;=0,NOT(ISNUMBER(G97))),"",G97/I97)</f>
        <v/>
      </c>
      <c r="S97" s="112" t="n"/>
      <c r="T97" s="112" t="n"/>
      <c r="U97" s="112" t="n"/>
      <c r="V97" s="140">
        <f>IF(OR(NOT(ISNUMBER(E97)),E97&lt;=0,NOT(ISNUMBER(G97))),"",1000*G97/E97)</f>
        <v/>
      </c>
      <c r="W97" s="140">
        <f>IF(OR(NOT(ISNUMBER(F97)),F97&lt;=0,NOT(ISNUMBER(G97))),"",G97/F97)</f>
        <v/>
      </c>
      <c r="X97" s="112" t="n"/>
      <c r="Y97" s="112" t="n"/>
      <c r="Z97" s="139">
        <f>IF(OR(NOT(ISNUMBER(X97)),X97&lt;=0,NOT(ISNUMBER(Y97))),"",Y97/X97)</f>
        <v/>
      </c>
      <c r="AA97" s="140">
        <f>IF(OR(NOT(ISNUMBER(A97)),B97=""),"",IF(B97="LinkedIn",IF(COUNTIFS('03_Chi_tieu'!$A$7:$A$96,A97,'03_Chi_tieu'!$E$7:$E$96,"&gt;=0")=0,"",SUMIF('03_Chi_tieu'!$A$7:$A$96,A97,'03_Chi_tieu'!$E$7:$E$96)),IF(B97="Search",IF(COUNTIFS('03_Chi_tieu'!$A$7:$A$96,A97,'03_Chi_tieu'!$F$7:$F$96,"&gt;=0")=0,"",SUMIF('03_Chi_tieu'!$A$7:$A$96,A97,'03_Chi_tieu'!$F$7:$F$96)),IF(B97="Retargeting",IF(COUNTIFS('03_Chi_tieu'!$A$7:$A$96,A97,'03_Chi_tieu'!$G$7:$G$96,"&gt;=0")=0,"",SUMIF('03_Chi_tieu'!$A$7:$A$96,A97,'03_Chi_tieu'!$G$7:$G$96)),IF(B97="Other",IF(COUNTIFS('03_Chi_tieu'!$A$7:$A$96,A97,'03_Chi_tieu'!$H$7:$H$96,"&gt;=0")=0,"",SUMIF('03_Chi_tieu'!$A$7:$A$96,A97,'03_Chi_tieu'!$H$7:$H$96)),"")))))</f>
        <v/>
      </c>
      <c r="AB97">
        <f>IF(G97="","",IF(NOT(ISNUMBER(G97)),"Chi không hợp lệ",IF(OR(NOT(ISNUMBER(A97)),B97=""),"Thiếu ngày/kênh",IF(COUNTIFS($A$5:$A$104,A97,$B$5:$B$104,B97)&gt;1,"Trùng ngày/kênh",IF(AA97="","Thiếu nguồn hoặc kênh",IF(G97=AA97,"Khớp","Lệch"))))))</f>
        <v/>
      </c>
    </row>
    <row r="98">
      <c r="A98" s="137" t="n"/>
      <c r="B98" s="112" t="n"/>
      <c r="C98" s="112" t="n"/>
      <c r="D98" s="112" t="n"/>
      <c r="E98" s="112" t="n"/>
      <c r="F98" s="112" t="n"/>
      <c r="G98" s="138" t="n"/>
      <c r="H98" s="112" t="n"/>
      <c r="I98" s="112" t="n"/>
      <c r="J98" s="112" t="n"/>
      <c r="K98" s="112" t="n"/>
      <c r="L98" s="112" t="n"/>
      <c r="M98" s="112" t="n"/>
      <c r="N98" s="139">
        <f>IF(OR(NOT(ISNUMBER(E98)),E98&lt;=0,NOT(ISNUMBER(F98))),"",F98/E98)</f>
        <v/>
      </c>
      <c r="O98" s="139">
        <f>IF(OR(NOT(ISNUMBER(H98)),H98&lt;=0,NOT(ISNUMBER(I98))),"",I98/H98)</f>
        <v/>
      </c>
      <c r="P98" s="139">
        <f>IF(OR(NOT(ISNUMBER(K98)),K98&lt;=0,NOT(ISNUMBER(J98))),"",J98/K98)</f>
        <v/>
      </c>
      <c r="Q98" s="139">
        <f>IF(OR(NOT(ISNUMBER(M98)),M98&lt;=0,NOT(ISNUMBER(L98))),"",L98/M98)</f>
        <v/>
      </c>
      <c r="R98" s="140">
        <f>IF(OR(NOT(ISNUMBER(I98)),I98&lt;=0,NOT(ISNUMBER(G98))),"",G98/I98)</f>
        <v/>
      </c>
      <c r="S98" s="112" t="n"/>
      <c r="T98" s="112" t="n"/>
      <c r="U98" s="112" t="n"/>
      <c r="V98" s="140">
        <f>IF(OR(NOT(ISNUMBER(E98)),E98&lt;=0,NOT(ISNUMBER(G98))),"",1000*G98/E98)</f>
        <v/>
      </c>
      <c r="W98" s="140">
        <f>IF(OR(NOT(ISNUMBER(F98)),F98&lt;=0,NOT(ISNUMBER(G98))),"",G98/F98)</f>
        <v/>
      </c>
      <c r="X98" s="112" t="n"/>
      <c r="Y98" s="112" t="n"/>
      <c r="Z98" s="139">
        <f>IF(OR(NOT(ISNUMBER(X98)),X98&lt;=0,NOT(ISNUMBER(Y98))),"",Y98/X98)</f>
        <v/>
      </c>
      <c r="AA98" s="140">
        <f>IF(OR(NOT(ISNUMBER(A98)),B98=""),"",IF(B98="LinkedIn",IF(COUNTIFS('03_Chi_tieu'!$A$7:$A$96,A98,'03_Chi_tieu'!$E$7:$E$96,"&gt;=0")=0,"",SUMIF('03_Chi_tieu'!$A$7:$A$96,A98,'03_Chi_tieu'!$E$7:$E$96)),IF(B98="Search",IF(COUNTIFS('03_Chi_tieu'!$A$7:$A$96,A98,'03_Chi_tieu'!$F$7:$F$96,"&gt;=0")=0,"",SUMIF('03_Chi_tieu'!$A$7:$A$96,A98,'03_Chi_tieu'!$F$7:$F$96)),IF(B98="Retargeting",IF(COUNTIFS('03_Chi_tieu'!$A$7:$A$96,A98,'03_Chi_tieu'!$G$7:$G$96,"&gt;=0")=0,"",SUMIF('03_Chi_tieu'!$A$7:$A$96,A98,'03_Chi_tieu'!$G$7:$G$96)),IF(B98="Other",IF(COUNTIFS('03_Chi_tieu'!$A$7:$A$96,A98,'03_Chi_tieu'!$H$7:$H$96,"&gt;=0")=0,"",SUMIF('03_Chi_tieu'!$A$7:$A$96,A98,'03_Chi_tieu'!$H$7:$H$96)),"")))))</f>
        <v/>
      </c>
      <c r="AB98">
        <f>IF(G98="","",IF(NOT(ISNUMBER(G98)),"Chi không hợp lệ",IF(OR(NOT(ISNUMBER(A98)),B98=""),"Thiếu ngày/kênh",IF(COUNTIFS($A$5:$A$104,A98,$B$5:$B$104,B98)&gt;1,"Trùng ngày/kênh",IF(AA98="","Thiếu nguồn hoặc kênh",IF(G98=AA98,"Khớp","Lệch"))))))</f>
        <v/>
      </c>
    </row>
    <row r="99">
      <c r="A99" s="137" t="n"/>
      <c r="B99" s="112" t="n"/>
      <c r="C99" s="112" t="n"/>
      <c r="D99" s="112" t="n"/>
      <c r="E99" s="112" t="n"/>
      <c r="F99" s="112" t="n"/>
      <c r="G99" s="138" t="n"/>
      <c r="H99" s="112" t="n"/>
      <c r="I99" s="112" t="n"/>
      <c r="J99" s="112" t="n"/>
      <c r="K99" s="112" t="n"/>
      <c r="L99" s="112" t="n"/>
      <c r="M99" s="112" t="n"/>
      <c r="N99" s="139">
        <f>IF(OR(NOT(ISNUMBER(E99)),E99&lt;=0,NOT(ISNUMBER(F99))),"",F99/E99)</f>
        <v/>
      </c>
      <c r="O99" s="139">
        <f>IF(OR(NOT(ISNUMBER(H99)),H99&lt;=0,NOT(ISNUMBER(I99))),"",I99/H99)</f>
        <v/>
      </c>
      <c r="P99" s="139">
        <f>IF(OR(NOT(ISNUMBER(K99)),K99&lt;=0,NOT(ISNUMBER(J99))),"",J99/K99)</f>
        <v/>
      </c>
      <c r="Q99" s="139">
        <f>IF(OR(NOT(ISNUMBER(M99)),M99&lt;=0,NOT(ISNUMBER(L99))),"",L99/M99)</f>
        <v/>
      </c>
      <c r="R99" s="140">
        <f>IF(OR(NOT(ISNUMBER(I99)),I99&lt;=0,NOT(ISNUMBER(G99))),"",G99/I99)</f>
        <v/>
      </c>
      <c r="S99" s="112" t="n"/>
      <c r="T99" s="112" t="n"/>
      <c r="U99" s="112" t="n"/>
      <c r="V99" s="140">
        <f>IF(OR(NOT(ISNUMBER(E99)),E99&lt;=0,NOT(ISNUMBER(G99))),"",1000*G99/E99)</f>
        <v/>
      </c>
      <c r="W99" s="140">
        <f>IF(OR(NOT(ISNUMBER(F99)),F99&lt;=0,NOT(ISNUMBER(G99))),"",G99/F99)</f>
        <v/>
      </c>
      <c r="X99" s="112" t="n"/>
      <c r="Y99" s="112" t="n"/>
      <c r="Z99" s="139">
        <f>IF(OR(NOT(ISNUMBER(X99)),X99&lt;=0,NOT(ISNUMBER(Y99))),"",Y99/X99)</f>
        <v/>
      </c>
      <c r="AA99" s="140">
        <f>IF(OR(NOT(ISNUMBER(A99)),B99=""),"",IF(B99="LinkedIn",IF(COUNTIFS('03_Chi_tieu'!$A$7:$A$96,A99,'03_Chi_tieu'!$E$7:$E$96,"&gt;=0")=0,"",SUMIF('03_Chi_tieu'!$A$7:$A$96,A99,'03_Chi_tieu'!$E$7:$E$96)),IF(B99="Search",IF(COUNTIFS('03_Chi_tieu'!$A$7:$A$96,A99,'03_Chi_tieu'!$F$7:$F$96,"&gt;=0")=0,"",SUMIF('03_Chi_tieu'!$A$7:$A$96,A99,'03_Chi_tieu'!$F$7:$F$96)),IF(B99="Retargeting",IF(COUNTIFS('03_Chi_tieu'!$A$7:$A$96,A99,'03_Chi_tieu'!$G$7:$G$96,"&gt;=0")=0,"",SUMIF('03_Chi_tieu'!$A$7:$A$96,A99,'03_Chi_tieu'!$G$7:$G$96)),IF(B99="Other",IF(COUNTIFS('03_Chi_tieu'!$A$7:$A$96,A99,'03_Chi_tieu'!$H$7:$H$96,"&gt;=0")=0,"",SUMIF('03_Chi_tieu'!$A$7:$A$96,A99,'03_Chi_tieu'!$H$7:$H$96)),"")))))</f>
        <v/>
      </c>
      <c r="AB99">
        <f>IF(G99="","",IF(NOT(ISNUMBER(G99)),"Chi không hợp lệ",IF(OR(NOT(ISNUMBER(A99)),B99=""),"Thiếu ngày/kênh",IF(COUNTIFS($A$5:$A$104,A99,$B$5:$B$104,B99)&gt;1,"Trùng ngày/kênh",IF(AA99="","Thiếu nguồn hoặc kênh",IF(G99=AA99,"Khớp","Lệch"))))))</f>
        <v/>
      </c>
    </row>
    <row r="100">
      <c r="A100" s="137" t="n"/>
      <c r="B100" s="112" t="n"/>
      <c r="C100" s="112" t="n"/>
      <c r="D100" s="112" t="n"/>
      <c r="E100" s="112" t="n"/>
      <c r="F100" s="112" t="n"/>
      <c r="G100" s="138" t="n"/>
      <c r="H100" s="112" t="n"/>
      <c r="I100" s="112" t="n"/>
      <c r="J100" s="112" t="n"/>
      <c r="K100" s="112" t="n"/>
      <c r="L100" s="112" t="n"/>
      <c r="M100" s="112" t="n"/>
      <c r="N100" s="139">
        <f>IF(OR(NOT(ISNUMBER(E100)),E100&lt;=0,NOT(ISNUMBER(F100))),"",F100/E100)</f>
        <v/>
      </c>
      <c r="O100" s="139">
        <f>IF(OR(NOT(ISNUMBER(H100)),H100&lt;=0,NOT(ISNUMBER(I100))),"",I100/H100)</f>
        <v/>
      </c>
      <c r="P100" s="139">
        <f>IF(OR(NOT(ISNUMBER(K100)),K100&lt;=0,NOT(ISNUMBER(J100))),"",J100/K100)</f>
        <v/>
      </c>
      <c r="Q100" s="139">
        <f>IF(OR(NOT(ISNUMBER(M100)),M100&lt;=0,NOT(ISNUMBER(L100))),"",L100/M100)</f>
        <v/>
      </c>
      <c r="R100" s="140">
        <f>IF(OR(NOT(ISNUMBER(I100)),I100&lt;=0,NOT(ISNUMBER(G100))),"",G100/I100)</f>
        <v/>
      </c>
      <c r="S100" s="112" t="n"/>
      <c r="T100" s="112" t="n"/>
      <c r="U100" s="112" t="n"/>
      <c r="V100" s="140">
        <f>IF(OR(NOT(ISNUMBER(E100)),E100&lt;=0,NOT(ISNUMBER(G100))),"",1000*G100/E100)</f>
        <v/>
      </c>
      <c r="W100" s="140">
        <f>IF(OR(NOT(ISNUMBER(F100)),F100&lt;=0,NOT(ISNUMBER(G100))),"",G100/F100)</f>
        <v/>
      </c>
      <c r="X100" s="112" t="n"/>
      <c r="Y100" s="112" t="n"/>
      <c r="Z100" s="139">
        <f>IF(OR(NOT(ISNUMBER(X100)),X100&lt;=0,NOT(ISNUMBER(Y100))),"",Y100/X100)</f>
        <v/>
      </c>
      <c r="AA100" s="140">
        <f>IF(OR(NOT(ISNUMBER(A100)),B100=""),"",IF(B100="LinkedIn",IF(COUNTIFS('03_Chi_tieu'!$A$7:$A$96,A100,'03_Chi_tieu'!$E$7:$E$96,"&gt;=0")=0,"",SUMIF('03_Chi_tieu'!$A$7:$A$96,A100,'03_Chi_tieu'!$E$7:$E$96)),IF(B100="Search",IF(COUNTIFS('03_Chi_tieu'!$A$7:$A$96,A100,'03_Chi_tieu'!$F$7:$F$96,"&gt;=0")=0,"",SUMIF('03_Chi_tieu'!$A$7:$A$96,A100,'03_Chi_tieu'!$F$7:$F$96)),IF(B100="Retargeting",IF(COUNTIFS('03_Chi_tieu'!$A$7:$A$96,A100,'03_Chi_tieu'!$G$7:$G$96,"&gt;=0")=0,"",SUMIF('03_Chi_tieu'!$A$7:$A$96,A100,'03_Chi_tieu'!$G$7:$G$96)),IF(B100="Other",IF(COUNTIFS('03_Chi_tieu'!$A$7:$A$96,A100,'03_Chi_tieu'!$H$7:$H$96,"&gt;=0")=0,"",SUMIF('03_Chi_tieu'!$A$7:$A$96,A100,'03_Chi_tieu'!$H$7:$H$96)),"")))))</f>
        <v/>
      </c>
      <c r="AB100">
        <f>IF(G100="","",IF(NOT(ISNUMBER(G100)),"Chi không hợp lệ",IF(OR(NOT(ISNUMBER(A100)),B100=""),"Thiếu ngày/kênh",IF(COUNTIFS($A$5:$A$104,A100,$B$5:$B$104,B100)&gt;1,"Trùng ngày/kênh",IF(AA100="","Thiếu nguồn hoặc kênh",IF(G100=AA100,"Khớp","Lệch"))))))</f>
        <v/>
      </c>
    </row>
    <row r="101">
      <c r="A101" s="137" t="n"/>
      <c r="B101" s="112" t="n"/>
      <c r="C101" s="112" t="n"/>
      <c r="D101" s="112" t="n"/>
      <c r="E101" s="112" t="n"/>
      <c r="F101" s="112" t="n"/>
      <c r="G101" s="138" t="n"/>
      <c r="H101" s="112" t="n"/>
      <c r="I101" s="112" t="n"/>
      <c r="J101" s="112" t="n"/>
      <c r="K101" s="112" t="n"/>
      <c r="L101" s="112" t="n"/>
      <c r="M101" s="112" t="n"/>
      <c r="N101" s="139">
        <f>IF(OR(NOT(ISNUMBER(E101)),E101&lt;=0,NOT(ISNUMBER(F101))),"",F101/E101)</f>
        <v/>
      </c>
      <c r="O101" s="139">
        <f>IF(OR(NOT(ISNUMBER(H101)),H101&lt;=0,NOT(ISNUMBER(I101))),"",I101/H101)</f>
        <v/>
      </c>
      <c r="P101" s="139">
        <f>IF(OR(NOT(ISNUMBER(K101)),K101&lt;=0,NOT(ISNUMBER(J101))),"",J101/K101)</f>
        <v/>
      </c>
      <c r="Q101" s="139">
        <f>IF(OR(NOT(ISNUMBER(M101)),M101&lt;=0,NOT(ISNUMBER(L101))),"",L101/M101)</f>
        <v/>
      </c>
      <c r="R101" s="140">
        <f>IF(OR(NOT(ISNUMBER(I101)),I101&lt;=0,NOT(ISNUMBER(G101))),"",G101/I101)</f>
        <v/>
      </c>
      <c r="S101" s="112" t="n"/>
      <c r="T101" s="112" t="n"/>
      <c r="U101" s="112" t="n"/>
      <c r="V101" s="140">
        <f>IF(OR(NOT(ISNUMBER(E101)),E101&lt;=0,NOT(ISNUMBER(G101))),"",1000*G101/E101)</f>
        <v/>
      </c>
      <c r="W101" s="140">
        <f>IF(OR(NOT(ISNUMBER(F101)),F101&lt;=0,NOT(ISNUMBER(G101))),"",G101/F101)</f>
        <v/>
      </c>
      <c r="X101" s="112" t="n"/>
      <c r="Y101" s="112" t="n"/>
      <c r="Z101" s="139">
        <f>IF(OR(NOT(ISNUMBER(X101)),X101&lt;=0,NOT(ISNUMBER(Y101))),"",Y101/X101)</f>
        <v/>
      </c>
      <c r="AA101" s="140">
        <f>IF(OR(NOT(ISNUMBER(A101)),B101=""),"",IF(B101="LinkedIn",IF(COUNTIFS('03_Chi_tieu'!$A$7:$A$96,A101,'03_Chi_tieu'!$E$7:$E$96,"&gt;=0")=0,"",SUMIF('03_Chi_tieu'!$A$7:$A$96,A101,'03_Chi_tieu'!$E$7:$E$96)),IF(B101="Search",IF(COUNTIFS('03_Chi_tieu'!$A$7:$A$96,A101,'03_Chi_tieu'!$F$7:$F$96,"&gt;=0")=0,"",SUMIF('03_Chi_tieu'!$A$7:$A$96,A101,'03_Chi_tieu'!$F$7:$F$96)),IF(B101="Retargeting",IF(COUNTIFS('03_Chi_tieu'!$A$7:$A$96,A101,'03_Chi_tieu'!$G$7:$G$96,"&gt;=0")=0,"",SUMIF('03_Chi_tieu'!$A$7:$A$96,A101,'03_Chi_tieu'!$G$7:$G$96)),IF(B101="Other",IF(COUNTIFS('03_Chi_tieu'!$A$7:$A$96,A101,'03_Chi_tieu'!$H$7:$H$96,"&gt;=0")=0,"",SUMIF('03_Chi_tieu'!$A$7:$A$96,A101,'03_Chi_tieu'!$H$7:$H$96)),"")))))</f>
        <v/>
      </c>
      <c r="AB101">
        <f>IF(G101="","",IF(NOT(ISNUMBER(G101)),"Chi không hợp lệ",IF(OR(NOT(ISNUMBER(A101)),B101=""),"Thiếu ngày/kênh",IF(COUNTIFS($A$5:$A$104,A101,$B$5:$B$104,B101)&gt;1,"Trùng ngày/kênh",IF(AA101="","Thiếu nguồn hoặc kênh",IF(G101=AA101,"Khớp","Lệch"))))))</f>
        <v/>
      </c>
    </row>
    <row r="102">
      <c r="A102" s="137" t="n"/>
      <c r="B102" s="112" t="n"/>
      <c r="C102" s="112" t="n"/>
      <c r="D102" s="112" t="n"/>
      <c r="E102" s="112" t="n"/>
      <c r="F102" s="112" t="n"/>
      <c r="G102" s="138" t="n"/>
      <c r="H102" s="112" t="n"/>
      <c r="I102" s="112" t="n"/>
      <c r="J102" s="112" t="n"/>
      <c r="K102" s="112" t="n"/>
      <c r="L102" s="112" t="n"/>
      <c r="M102" s="112" t="n"/>
      <c r="N102" s="139">
        <f>IF(OR(NOT(ISNUMBER(E102)),E102&lt;=0,NOT(ISNUMBER(F102))),"",F102/E102)</f>
        <v/>
      </c>
      <c r="O102" s="139">
        <f>IF(OR(NOT(ISNUMBER(H102)),H102&lt;=0,NOT(ISNUMBER(I102))),"",I102/H102)</f>
        <v/>
      </c>
      <c r="P102" s="139">
        <f>IF(OR(NOT(ISNUMBER(K102)),K102&lt;=0,NOT(ISNUMBER(J102))),"",J102/K102)</f>
        <v/>
      </c>
      <c r="Q102" s="139">
        <f>IF(OR(NOT(ISNUMBER(M102)),M102&lt;=0,NOT(ISNUMBER(L102))),"",L102/M102)</f>
        <v/>
      </c>
      <c r="R102" s="140">
        <f>IF(OR(NOT(ISNUMBER(I102)),I102&lt;=0,NOT(ISNUMBER(G102))),"",G102/I102)</f>
        <v/>
      </c>
      <c r="S102" s="112" t="n"/>
      <c r="T102" s="112" t="n"/>
      <c r="U102" s="112" t="n"/>
      <c r="V102" s="140">
        <f>IF(OR(NOT(ISNUMBER(E102)),E102&lt;=0,NOT(ISNUMBER(G102))),"",1000*G102/E102)</f>
        <v/>
      </c>
      <c r="W102" s="140">
        <f>IF(OR(NOT(ISNUMBER(F102)),F102&lt;=0,NOT(ISNUMBER(G102))),"",G102/F102)</f>
        <v/>
      </c>
      <c r="X102" s="112" t="n"/>
      <c r="Y102" s="112" t="n"/>
      <c r="Z102" s="139">
        <f>IF(OR(NOT(ISNUMBER(X102)),X102&lt;=0,NOT(ISNUMBER(Y102))),"",Y102/X102)</f>
        <v/>
      </c>
      <c r="AA102" s="140">
        <f>IF(OR(NOT(ISNUMBER(A102)),B102=""),"",IF(B102="LinkedIn",IF(COUNTIFS('03_Chi_tieu'!$A$7:$A$96,A102,'03_Chi_tieu'!$E$7:$E$96,"&gt;=0")=0,"",SUMIF('03_Chi_tieu'!$A$7:$A$96,A102,'03_Chi_tieu'!$E$7:$E$96)),IF(B102="Search",IF(COUNTIFS('03_Chi_tieu'!$A$7:$A$96,A102,'03_Chi_tieu'!$F$7:$F$96,"&gt;=0")=0,"",SUMIF('03_Chi_tieu'!$A$7:$A$96,A102,'03_Chi_tieu'!$F$7:$F$96)),IF(B102="Retargeting",IF(COUNTIFS('03_Chi_tieu'!$A$7:$A$96,A102,'03_Chi_tieu'!$G$7:$G$96,"&gt;=0")=0,"",SUMIF('03_Chi_tieu'!$A$7:$A$96,A102,'03_Chi_tieu'!$G$7:$G$96)),IF(B102="Other",IF(COUNTIFS('03_Chi_tieu'!$A$7:$A$96,A102,'03_Chi_tieu'!$H$7:$H$96,"&gt;=0")=0,"",SUMIF('03_Chi_tieu'!$A$7:$A$96,A102,'03_Chi_tieu'!$H$7:$H$96)),"")))))</f>
        <v/>
      </c>
      <c r="AB102">
        <f>IF(G102="","",IF(NOT(ISNUMBER(G102)),"Chi không hợp lệ",IF(OR(NOT(ISNUMBER(A102)),B102=""),"Thiếu ngày/kênh",IF(COUNTIFS($A$5:$A$104,A102,$B$5:$B$104,B102)&gt;1,"Trùng ngày/kênh",IF(AA102="","Thiếu nguồn hoặc kênh",IF(G102=AA102,"Khớp","Lệch"))))))</f>
        <v/>
      </c>
    </row>
    <row r="103">
      <c r="A103" s="137" t="n"/>
      <c r="B103" s="112" t="n"/>
      <c r="C103" s="112" t="n"/>
      <c r="D103" s="112" t="n"/>
      <c r="E103" s="112" t="n"/>
      <c r="F103" s="112" t="n"/>
      <c r="G103" s="138" t="n"/>
      <c r="H103" s="112" t="n"/>
      <c r="I103" s="112" t="n"/>
      <c r="J103" s="112" t="n"/>
      <c r="K103" s="112" t="n"/>
      <c r="L103" s="112" t="n"/>
      <c r="M103" s="112" t="n"/>
      <c r="N103" s="139">
        <f>IF(OR(NOT(ISNUMBER(E103)),E103&lt;=0,NOT(ISNUMBER(F103))),"",F103/E103)</f>
        <v/>
      </c>
      <c r="O103" s="139">
        <f>IF(OR(NOT(ISNUMBER(H103)),H103&lt;=0,NOT(ISNUMBER(I103))),"",I103/H103)</f>
        <v/>
      </c>
      <c r="P103" s="139">
        <f>IF(OR(NOT(ISNUMBER(K103)),K103&lt;=0,NOT(ISNUMBER(J103))),"",J103/K103)</f>
        <v/>
      </c>
      <c r="Q103" s="139">
        <f>IF(OR(NOT(ISNUMBER(M103)),M103&lt;=0,NOT(ISNUMBER(L103))),"",L103/M103)</f>
        <v/>
      </c>
      <c r="R103" s="140">
        <f>IF(OR(NOT(ISNUMBER(I103)),I103&lt;=0,NOT(ISNUMBER(G103))),"",G103/I103)</f>
        <v/>
      </c>
      <c r="S103" s="112" t="n"/>
      <c r="T103" s="112" t="n"/>
      <c r="U103" s="112" t="n"/>
      <c r="V103" s="140">
        <f>IF(OR(NOT(ISNUMBER(E103)),E103&lt;=0,NOT(ISNUMBER(G103))),"",1000*G103/E103)</f>
        <v/>
      </c>
      <c r="W103" s="140">
        <f>IF(OR(NOT(ISNUMBER(F103)),F103&lt;=0,NOT(ISNUMBER(G103))),"",G103/F103)</f>
        <v/>
      </c>
      <c r="X103" s="112" t="n"/>
      <c r="Y103" s="112" t="n"/>
      <c r="Z103" s="139">
        <f>IF(OR(NOT(ISNUMBER(X103)),X103&lt;=0,NOT(ISNUMBER(Y103))),"",Y103/X103)</f>
        <v/>
      </c>
      <c r="AA103" s="140">
        <f>IF(OR(NOT(ISNUMBER(A103)),B103=""),"",IF(B103="LinkedIn",IF(COUNTIFS('03_Chi_tieu'!$A$7:$A$96,A103,'03_Chi_tieu'!$E$7:$E$96,"&gt;=0")=0,"",SUMIF('03_Chi_tieu'!$A$7:$A$96,A103,'03_Chi_tieu'!$E$7:$E$96)),IF(B103="Search",IF(COUNTIFS('03_Chi_tieu'!$A$7:$A$96,A103,'03_Chi_tieu'!$F$7:$F$96,"&gt;=0")=0,"",SUMIF('03_Chi_tieu'!$A$7:$A$96,A103,'03_Chi_tieu'!$F$7:$F$96)),IF(B103="Retargeting",IF(COUNTIFS('03_Chi_tieu'!$A$7:$A$96,A103,'03_Chi_tieu'!$G$7:$G$96,"&gt;=0")=0,"",SUMIF('03_Chi_tieu'!$A$7:$A$96,A103,'03_Chi_tieu'!$G$7:$G$96)),IF(B103="Other",IF(COUNTIFS('03_Chi_tieu'!$A$7:$A$96,A103,'03_Chi_tieu'!$H$7:$H$96,"&gt;=0")=0,"",SUMIF('03_Chi_tieu'!$A$7:$A$96,A103,'03_Chi_tieu'!$H$7:$H$96)),"")))))</f>
        <v/>
      </c>
      <c r="AB103">
        <f>IF(G103="","",IF(NOT(ISNUMBER(G103)),"Chi không hợp lệ",IF(OR(NOT(ISNUMBER(A103)),B103=""),"Thiếu ngày/kênh",IF(COUNTIFS($A$5:$A$104,A103,$B$5:$B$104,B103)&gt;1,"Trùng ngày/kênh",IF(AA103="","Thiếu nguồn hoặc kênh",IF(G103=AA103,"Khớp","Lệch"))))))</f>
        <v/>
      </c>
    </row>
    <row r="104">
      <c r="A104" s="137" t="n"/>
      <c r="B104" s="112" t="n"/>
      <c r="C104" s="112" t="n"/>
      <c r="D104" s="112" t="n"/>
      <c r="E104" s="112" t="n"/>
      <c r="F104" s="112" t="n"/>
      <c r="G104" s="138" t="n"/>
      <c r="H104" s="112" t="n"/>
      <c r="I104" s="112" t="n"/>
      <c r="J104" s="112" t="n"/>
      <c r="K104" s="112" t="n"/>
      <c r="L104" s="112" t="n"/>
      <c r="M104" s="112" t="n"/>
      <c r="N104" s="139">
        <f>IF(OR(NOT(ISNUMBER(E104)),E104&lt;=0,NOT(ISNUMBER(F104))),"",F104/E104)</f>
        <v/>
      </c>
      <c r="O104" s="139">
        <f>IF(OR(NOT(ISNUMBER(H104)),H104&lt;=0,NOT(ISNUMBER(I104))),"",I104/H104)</f>
        <v/>
      </c>
      <c r="P104" s="139">
        <f>IF(OR(NOT(ISNUMBER(K104)),K104&lt;=0,NOT(ISNUMBER(J104))),"",J104/K104)</f>
        <v/>
      </c>
      <c r="Q104" s="139">
        <f>IF(OR(NOT(ISNUMBER(M104)),M104&lt;=0,NOT(ISNUMBER(L104))),"",L104/M104)</f>
        <v/>
      </c>
      <c r="R104" s="140">
        <f>IF(OR(NOT(ISNUMBER(I104)),I104&lt;=0,NOT(ISNUMBER(G104))),"",G104/I104)</f>
        <v/>
      </c>
      <c r="S104" s="112" t="n"/>
      <c r="T104" s="112" t="n"/>
      <c r="U104" s="112" t="n"/>
      <c r="V104" s="140">
        <f>IF(OR(NOT(ISNUMBER(E104)),E104&lt;=0,NOT(ISNUMBER(G104))),"",1000*G104/E104)</f>
        <v/>
      </c>
      <c r="W104" s="140">
        <f>IF(OR(NOT(ISNUMBER(F104)),F104&lt;=0,NOT(ISNUMBER(G104))),"",G104/F104)</f>
        <v/>
      </c>
      <c r="X104" s="112" t="n"/>
      <c r="Y104" s="112" t="n"/>
      <c r="Z104" s="139">
        <f>IF(OR(NOT(ISNUMBER(X104)),X104&lt;=0,NOT(ISNUMBER(Y104))),"",Y104/X104)</f>
        <v/>
      </c>
      <c r="AA104" s="140">
        <f>IF(OR(NOT(ISNUMBER(A104)),B104=""),"",IF(B104="LinkedIn",IF(COUNTIFS('03_Chi_tieu'!$A$7:$A$96,A104,'03_Chi_tieu'!$E$7:$E$96,"&gt;=0")=0,"",SUMIF('03_Chi_tieu'!$A$7:$A$96,A104,'03_Chi_tieu'!$E$7:$E$96)),IF(B104="Search",IF(COUNTIFS('03_Chi_tieu'!$A$7:$A$96,A104,'03_Chi_tieu'!$F$7:$F$96,"&gt;=0")=0,"",SUMIF('03_Chi_tieu'!$A$7:$A$96,A104,'03_Chi_tieu'!$F$7:$F$96)),IF(B104="Retargeting",IF(COUNTIFS('03_Chi_tieu'!$A$7:$A$96,A104,'03_Chi_tieu'!$G$7:$G$96,"&gt;=0")=0,"",SUMIF('03_Chi_tieu'!$A$7:$A$96,A104,'03_Chi_tieu'!$G$7:$G$96)),IF(B104="Other",IF(COUNTIFS('03_Chi_tieu'!$A$7:$A$96,A104,'03_Chi_tieu'!$H$7:$H$96,"&gt;=0")=0,"",SUMIF('03_Chi_tieu'!$A$7:$A$96,A104,'03_Chi_tieu'!$H$7:$H$96)),"")))))</f>
        <v/>
      </c>
      <c r="AB104">
        <f>IF(G104="","",IF(NOT(ISNUMBER(G104)),"Chi không hợp lệ",IF(OR(NOT(ISNUMBER(A104)),B104=""),"Thiếu ngày/kênh",IF(COUNTIFS($A$5:$A$104,A104,$B$5:$B$104,B104)&gt;1,"Trùng ngày/kênh",IF(AA104="","Thiếu nguồn hoặc kênh",IF(G104=AA104,"Khớp","Lệch"))))))</f>
        <v/>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K104"/>
  <sheetViews>
    <sheetView showGridLines="0" workbookViewId="0">
      <pane ySplit="4" topLeftCell="A5" activePane="bottomLeft" state="frozen"/>
      <selection activeCell="A1" sqref="A1"/>
    </sheetView>
  </sheetViews>
  <sheetFormatPr baseColWidth="8" defaultRowHeight="15"/>
  <cols>
    <col width="18" customWidth="1" min="1" max="1"/>
    <col width="45" customWidth="1" min="2" max="2"/>
    <col width="16" customWidth="1" min="3" max="3"/>
    <col width="25" customWidth="1" min="4" max="4"/>
    <col width="20" customWidth="1" min="5" max="5"/>
    <col width="18" customWidth="1" min="6" max="6"/>
    <col width="22" customWidth="1" min="7" max="7"/>
    <col width="28" customWidth="1" min="8" max="8"/>
    <col width="15" customWidth="1" min="9" max="9"/>
    <col width="25" customWidth="1" min="10" max="10"/>
    <col width="45" customWidth="1" min="11" max="11"/>
  </cols>
  <sheetData>
    <row r="1">
      <c r="A1" s="104" t="inlineStr">
        <is>
          <t>Từ khóa và negative</t>
        </is>
      </c>
    </row>
    <row r="2">
      <c r="A2" s="105" t="inlineStr">
        <is>
          <t>Ứng viên offline; volume trống/không hiển thị không có nghĩa nhu cầu bằng 0.</t>
        </is>
      </c>
    </row>
    <row r="3"/>
    <row r="4" ht="28" customHeight="1">
      <c r="A4" s="107" t="inlineStr">
        <is>
          <t>Loại</t>
        </is>
      </c>
      <c r="B4" s="107" t="inlineStr">
        <is>
          <t>Cụm từ</t>
        </is>
      </c>
      <c r="C4" s="107" t="inlineStr">
        <is>
          <t>Locale</t>
        </is>
      </c>
      <c r="D4" s="107" t="inlineStr">
        <is>
          <t>Intent / loại trừ</t>
        </is>
      </c>
      <c r="E4" s="107" t="inlineStr">
        <is>
          <t>Route</t>
        </is>
      </c>
      <c r="F4" s="107" t="inlineStr">
        <is>
          <t>Match giả thuyết</t>
        </is>
      </c>
      <c r="G4" s="107" t="inlineStr">
        <is>
          <t>Volume hiển thị</t>
        </is>
      </c>
      <c r="H4" s="107" t="inlineStr">
        <is>
          <t>Cấu hình và kỳ</t>
        </is>
      </c>
      <c r="I4" s="107" t="inlineStr">
        <is>
          <t>Ngày quan sát</t>
        </is>
      </c>
      <c r="J4" s="107" t="inlineStr">
        <is>
          <t>Trạng thái nguồn</t>
        </is>
      </c>
      <c r="K4" s="107" t="inlineStr">
        <is>
          <t>Nguồn / ghi chú</t>
        </is>
      </c>
    </row>
    <row r="5">
      <c r="A5" s="141" t="inlineStr">
        <is>
          <t>Keyword (VI)</t>
        </is>
      </c>
      <c r="B5" s="142" t="inlineStr">
        <is>
          <t>phần mềm MES đóng gói kiểm thử bán dẫn</t>
        </is>
      </c>
      <c r="C5" s="141" t="inlineStr">
        <is>
          <t>VI</t>
        </is>
      </c>
      <c r="D5" s="142" t="inlineStr">
        <is>
          <t>Solution</t>
        </is>
      </c>
      <c r="E5" s="142" t="inlineStr">
        <is>
          <t>OSAT</t>
        </is>
      </c>
      <c r="F5" s="141" t="inlineStr">
        <is>
          <t>Phrase</t>
        </is>
      </c>
      <c r="G5" s="143" t="inlineStr">
        <is>
          <t>- (no displayed data)</t>
        </is>
      </c>
      <c r="H5" s="142" t="inlineStr">
        <is>
          <t>Vietnam, Sep 2025-Aug 2026</t>
        </is>
      </c>
      <c r="I5" s="141" t="inlineStr">
        <is>
          <t>Chưa query</t>
        </is>
      </c>
      <c r="J5" s="141" t="inlineStr">
        <is>
          <t>Candidate; chưa query</t>
        </is>
      </c>
      <c r="K5" s="142" t="inlineStr">
        <is>
          <t>S02 S3 draft; ứng viên tiếng Việt</t>
        </is>
      </c>
    </row>
    <row r="6">
      <c r="A6" s="141" t="inlineStr">
        <is>
          <t>Keyword (VI)</t>
        </is>
      </c>
      <c r="B6" s="142" t="inlineStr">
        <is>
          <t>truy xuất lot kiểm thử bán dẫn</t>
        </is>
      </c>
      <c r="C6" s="141" t="inlineStr">
        <is>
          <t>VI</t>
        </is>
      </c>
      <c r="D6" s="142" t="inlineStr">
        <is>
          <t>Problem/solution</t>
        </is>
      </c>
      <c r="E6" s="142" t="inlineStr">
        <is>
          <t>OSAT</t>
        </is>
      </c>
      <c r="F6" s="141" t="inlineStr">
        <is>
          <t>Exact</t>
        </is>
      </c>
      <c r="G6" s="143" t="inlineStr">
        <is>
          <t>- (no displayed data)</t>
        </is>
      </c>
      <c r="H6" s="142" t="inlineStr">
        <is>
          <t>Vietnam, Sep 2025-Aug 2026</t>
        </is>
      </c>
      <c r="I6" s="141" t="inlineStr">
        <is>
          <t>Chưa query</t>
        </is>
      </c>
      <c r="J6" s="141" t="inlineStr">
        <is>
          <t>Candidate; chưa query</t>
        </is>
      </c>
      <c r="K6" s="142" t="inlineStr">
        <is>
          <t>S02 S3 draft; ứng viên tiếng Việt</t>
        </is>
      </c>
    </row>
    <row r="7">
      <c r="A7" s="141" t="inlineStr">
        <is>
          <t>Keyword (VI)</t>
        </is>
      </c>
      <c r="B7" s="142" t="inlineStr">
        <is>
          <t>quản lý WIP gia công chip ngoài</t>
        </is>
      </c>
      <c r="C7" s="141" t="inlineStr">
        <is>
          <t>VI</t>
        </is>
      </c>
      <c r="D7" s="142" t="inlineStr">
        <is>
          <t>Problem/solution</t>
        </is>
      </c>
      <c r="E7" s="142" t="inlineStr">
        <is>
          <t>Fabless</t>
        </is>
      </c>
      <c r="F7" s="141" t="inlineStr">
        <is>
          <t>Phrase</t>
        </is>
      </c>
      <c r="G7" s="143" t="inlineStr">
        <is>
          <t>- (no displayed data)</t>
        </is>
      </c>
      <c r="H7" s="142" t="inlineStr">
        <is>
          <t>Vietnam, Sep 2025-Aug 2026</t>
        </is>
      </c>
      <c r="I7" s="141" t="inlineStr">
        <is>
          <t>Chưa query</t>
        </is>
      </c>
      <c r="J7" s="141" t="inlineStr">
        <is>
          <t>Candidate; chưa query</t>
        </is>
      </c>
      <c r="K7" s="142" t="inlineStr">
        <is>
          <t>S02 S3 draft; ứng viên tiếng Việt</t>
        </is>
      </c>
    </row>
    <row r="8">
      <c r="A8" s="141" t="inlineStr">
        <is>
          <t>Keyword (VI)</t>
        </is>
      </c>
      <c r="B8" s="142" t="inlineStr">
        <is>
          <t>theo dõi gia công ngoài bán dẫn</t>
        </is>
      </c>
      <c r="C8" s="141" t="inlineStr">
        <is>
          <t>VI</t>
        </is>
      </c>
      <c r="D8" s="142" t="inlineStr">
        <is>
          <t>Problem</t>
        </is>
      </c>
      <c r="E8" s="142" t="inlineStr">
        <is>
          <t>Fabless</t>
        </is>
      </c>
      <c r="F8" s="141" t="inlineStr">
        <is>
          <t>Exact</t>
        </is>
      </c>
      <c r="G8" s="143" t="inlineStr">
        <is>
          <t>- (no displayed data)</t>
        </is>
      </c>
      <c r="H8" s="142" t="inlineStr">
        <is>
          <t>Vietnam, Sep 2025-Aug 2026</t>
        </is>
      </c>
      <c r="I8" s="141" t="inlineStr">
        <is>
          <t>Chưa query</t>
        </is>
      </c>
      <c r="J8" s="141" t="inlineStr">
        <is>
          <t>Candidate; chưa query</t>
        </is>
      </c>
      <c r="K8" s="142" t="inlineStr">
        <is>
          <t>S02 S3 draft; ứng viên tiếng Việt</t>
        </is>
      </c>
    </row>
    <row r="9">
      <c r="A9" s="141" t="inlineStr">
        <is>
          <t>Keyword (VI)</t>
        </is>
      </c>
      <c r="B9" s="142" t="inlineStr">
        <is>
          <t>tích hợp ERP MES nhà máy bán dẫn</t>
        </is>
      </c>
      <c r="C9" s="141" t="inlineStr">
        <is>
          <t>VI</t>
        </is>
      </c>
      <c r="D9" s="142" t="inlineStr">
        <is>
          <t>Solution</t>
        </is>
      </c>
      <c r="E9" s="142" t="inlineStr">
        <is>
          <t>Supplier/Partner</t>
        </is>
      </c>
      <c r="F9" s="141" t="inlineStr">
        <is>
          <t>Phrase</t>
        </is>
      </c>
      <c r="G9" s="143" t="inlineStr">
        <is>
          <t>- (no displayed data)</t>
        </is>
      </c>
      <c r="H9" s="142" t="inlineStr">
        <is>
          <t>Vietnam, Sep 2025-Aug 2026</t>
        </is>
      </c>
      <c r="I9" s="141" t="inlineStr">
        <is>
          <t>Chưa query</t>
        </is>
      </c>
      <c r="J9" s="141" t="inlineStr">
        <is>
          <t>Candidate; chưa query</t>
        </is>
      </c>
      <c r="K9" s="142" t="inlineStr">
        <is>
          <t>S02 S3 draft; ứng viên tiếng Việt</t>
        </is>
      </c>
    </row>
    <row r="10">
      <c r="A10" s="141" t="inlineStr">
        <is>
          <t>Keyword (VI)</t>
        </is>
      </c>
      <c r="B10" s="142" t="inlineStr">
        <is>
          <t>đối tác triển khai MES bán dẫn</t>
        </is>
      </c>
      <c r="C10" s="141" t="inlineStr">
        <is>
          <t>VI</t>
        </is>
      </c>
      <c r="D10" s="142" t="inlineStr">
        <is>
          <t>Partner/solution</t>
        </is>
      </c>
      <c r="E10" s="142" t="inlineStr">
        <is>
          <t>Supplier/Partner</t>
        </is>
      </c>
      <c r="F10" s="141" t="inlineStr">
        <is>
          <t>Exact</t>
        </is>
      </c>
      <c r="G10" s="143" t="inlineStr">
        <is>
          <t>- (no displayed data)</t>
        </is>
      </c>
      <c r="H10" s="142" t="inlineStr">
        <is>
          <t>Vietnam, Sep 2025-Aug 2026</t>
        </is>
      </c>
      <c r="I10" s="141" t="inlineStr">
        <is>
          <t>Chưa query</t>
        </is>
      </c>
      <c r="J10" s="141" t="inlineStr">
        <is>
          <t>Candidate; chưa query</t>
        </is>
      </c>
      <c r="K10" s="142" t="inlineStr">
        <is>
          <t>S02 S3 draft; ứng viên tiếng Việt</t>
        </is>
      </c>
    </row>
    <row r="11">
      <c r="A11" s="141" t="inlineStr">
        <is>
          <t>Keyword (VI)</t>
        </is>
      </c>
      <c r="B11" s="142" t="inlineStr">
        <is>
          <t>Digiwin Việt Nam bán dẫn</t>
        </is>
      </c>
      <c r="C11" s="141" t="inlineStr">
        <is>
          <t>VI</t>
        </is>
      </c>
      <c r="D11" s="142" t="inlineStr">
        <is>
          <t>Brand/navigation</t>
        </is>
      </c>
      <c r="E11" s="142" t="inlineStr">
        <is>
          <t>Brand candidate</t>
        </is>
      </c>
      <c r="F11" s="141" t="inlineStr">
        <is>
          <t>Exact</t>
        </is>
      </c>
      <c r="G11" s="143" t="inlineStr">
        <is>
          <t>- (no displayed data)</t>
        </is>
      </c>
      <c r="H11" s="142" t="inlineStr">
        <is>
          <t>Vietnam, Sep 2025-Aug 2026</t>
        </is>
      </c>
      <c r="I11" s="141" t="inlineStr">
        <is>
          <t>Chưa query</t>
        </is>
      </c>
      <c r="J11" s="141" t="inlineStr">
        <is>
          <t>Candidate; chưa query</t>
        </is>
      </c>
      <c r="K11" s="142" t="inlineStr">
        <is>
          <t>S02 S3 draft; brand ứng viên tiếng Việt</t>
        </is>
      </c>
    </row>
    <row r="12">
      <c r="A12" s="141" t="inlineStr">
        <is>
          <t>Keyword (EN)</t>
        </is>
      </c>
      <c r="B12" s="142" t="inlineStr">
        <is>
          <t>OSAT lot traceability software</t>
        </is>
      </c>
      <c r="C12" s="141" t="inlineStr">
        <is>
          <t>EN</t>
        </is>
      </c>
      <c r="D12" s="142" t="inlineStr">
        <is>
          <t>Solution</t>
        </is>
      </c>
      <c r="E12" s="142" t="inlineStr">
        <is>
          <t>OSAT</t>
        </is>
      </c>
      <c r="F12" s="141" t="inlineStr">
        <is>
          <t>Phrase</t>
        </is>
      </c>
      <c r="G12" s="143" t="inlineStr">
        <is>
          <t>- (no displayed data)</t>
        </is>
      </c>
      <c r="H12" s="142" t="inlineStr">
        <is>
          <t>Vietnam, Sep 2025-Aug 2026</t>
        </is>
      </c>
      <c r="I12" s="141" t="inlineStr">
        <is>
          <t>Chưa query</t>
        </is>
      </c>
      <c r="J12" s="141" t="inlineStr">
        <is>
          <t>Candidate; chưa query</t>
        </is>
      </c>
      <c r="K12" s="142" t="inlineStr">
        <is>
          <t>S02 S3 draft; candidate English</t>
        </is>
      </c>
    </row>
    <row r="13">
      <c r="A13" s="141" t="inlineStr">
        <is>
          <t>Keyword (EN)</t>
        </is>
      </c>
      <c r="B13" s="142" t="inlineStr">
        <is>
          <t>semiconductor test data management</t>
        </is>
      </c>
      <c r="C13" s="141" t="inlineStr">
        <is>
          <t>EN</t>
        </is>
      </c>
      <c r="D13" s="142" t="inlineStr">
        <is>
          <t>Solution</t>
        </is>
      </c>
      <c r="E13" s="142" t="inlineStr">
        <is>
          <t>OSAT</t>
        </is>
      </c>
      <c r="F13" s="141" t="inlineStr">
        <is>
          <t>Exact</t>
        </is>
      </c>
      <c r="G13" s="143" t="inlineStr">
        <is>
          <t>- (no displayed data)</t>
        </is>
      </c>
      <c r="H13" s="142" t="inlineStr">
        <is>
          <t>Vietnam, Sep 2025-Aug 2026</t>
        </is>
      </c>
      <c r="I13" s="141" t="inlineStr">
        <is>
          <t>Chưa query</t>
        </is>
      </c>
      <c r="J13" s="141" t="inlineStr">
        <is>
          <t>Candidate; chưa query</t>
        </is>
      </c>
      <c r="K13" s="142" t="inlineStr">
        <is>
          <t>S02 S3 draft; candidate English</t>
        </is>
      </c>
    </row>
    <row r="14">
      <c r="A14" s="141" t="inlineStr">
        <is>
          <t>Keyword (EN)</t>
        </is>
      </c>
      <c r="B14" s="142" t="inlineStr">
        <is>
          <t>fabless outsourced WIP tracking</t>
        </is>
      </c>
      <c r="C14" s="141" t="inlineStr">
        <is>
          <t>EN</t>
        </is>
      </c>
      <c r="D14" s="142" t="inlineStr">
        <is>
          <t>Solution</t>
        </is>
      </c>
      <c r="E14" s="142" t="inlineStr">
        <is>
          <t>Fabless</t>
        </is>
      </c>
      <c r="F14" s="141" t="inlineStr">
        <is>
          <t>Phrase</t>
        </is>
      </c>
      <c r="G14" s="143" t="inlineStr">
        <is>
          <t>- (no displayed data)</t>
        </is>
      </c>
      <c r="H14" s="142" t="inlineStr">
        <is>
          <t>Vietnam, Sep 2025-Aug 2026</t>
        </is>
      </c>
      <c r="I14" s="141" t="inlineStr">
        <is>
          <t>Chưa query</t>
        </is>
      </c>
      <c r="J14" s="141" t="inlineStr">
        <is>
          <t>Candidate; chưa query</t>
        </is>
      </c>
      <c r="K14" s="142" t="inlineStr">
        <is>
          <t>S02 S3 draft; candidate English</t>
        </is>
      </c>
    </row>
    <row r="15">
      <c r="A15" s="141" t="inlineStr">
        <is>
          <t>Keyword (EN)</t>
        </is>
      </c>
      <c r="B15" s="142" t="inlineStr">
        <is>
          <t>semiconductor subcontract production tracking</t>
        </is>
      </c>
      <c r="C15" s="141" t="inlineStr">
        <is>
          <t>EN</t>
        </is>
      </c>
      <c r="D15" s="142" t="inlineStr">
        <is>
          <t>Solution</t>
        </is>
      </c>
      <c r="E15" s="142" t="inlineStr">
        <is>
          <t>Fabless</t>
        </is>
      </c>
      <c r="F15" s="141" t="inlineStr">
        <is>
          <t>Exact</t>
        </is>
      </c>
      <c r="G15" s="143" t="inlineStr">
        <is>
          <t>- (no displayed data)</t>
        </is>
      </c>
      <c r="H15" s="142" t="inlineStr">
        <is>
          <t>Vietnam, Sep 2025-Aug 2026</t>
        </is>
      </c>
      <c r="I15" s="141" t="inlineStr">
        <is>
          <t>Chưa query</t>
        </is>
      </c>
      <c r="J15" s="141" t="inlineStr">
        <is>
          <t>Candidate; chưa query</t>
        </is>
      </c>
      <c r="K15" s="142" t="inlineStr">
        <is>
          <t>S02 S3 draft; candidate English</t>
        </is>
      </c>
    </row>
    <row r="16">
      <c r="A16" s="141" t="inlineStr">
        <is>
          <t>Keyword (EN)</t>
        </is>
      </c>
      <c r="B16" s="142" t="inlineStr">
        <is>
          <t>semiconductor ERP MES integration</t>
        </is>
      </c>
      <c r="C16" s="141" t="inlineStr">
        <is>
          <t>EN</t>
        </is>
      </c>
      <c r="D16" s="142" t="inlineStr">
        <is>
          <t>Solution</t>
        </is>
      </c>
      <c r="E16" s="142" t="inlineStr">
        <is>
          <t>Supplier/Partner</t>
        </is>
      </c>
      <c r="F16" s="141" t="inlineStr">
        <is>
          <t>Phrase</t>
        </is>
      </c>
      <c r="G16" s="143" t="inlineStr">
        <is>
          <t>- (no displayed data)</t>
        </is>
      </c>
      <c r="H16" s="142" t="inlineStr">
        <is>
          <t>Vietnam, Sep 2025-Aug 2026</t>
        </is>
      </c>
      <c r="I16" s="141" t="inlineStr">
        <is>
          <t>Chưa query</t>
        </is>
      </c>
      <c r="J16" s="141" t="inlineStr">
        <is>
          <t>Candidate; chưa query</t>
        </is>
      </c>
      <c r="K16" s="142" t="inlineStr">
        <is>
          <t>S02 S3 draft; candidate English</t>
        </is>
      </c>
    </row>
    <row r="17">
      <c r="A17" s="141" t="inlineStr">
        <is>
          <t>Keyword (EN)</t>
        </is>
      </c>
      <c r="B17" s="142" t="inlineStr">
        <is>
          <t>MES integration partner Vietnam</t>
        </is>
      </c>
      <c r="C17" s="141" t="inlineStr">
        <is>
          <t>EN</t>
        </is>
      </c>
      <c r="D17" s="142" t="inlineStr">
        <is>
          <t>Partner/solution</t>
        </is>
      </c>
      <c r="E17" s="142" t="inlineStr">
        <is>
          <t>Supplier/Partner</t>
        </is>
      </c>
      <c r="F17" s="141" t="inlineStr">
        <is>
          <t>Exact</t>
        </is>
      </c>
      <c r="G17" s="143" t="inlineStr">
        <is>
          <t>- (no displayed data)</t>
        </is>
      </c>
      <c r="H17" s="142" t="inlineStr">
        <is>
          <t>Vietnam, Sep 2025-Aug 2026</t>
        </is>
      </c>
      <c r="I17" s="141" t="inlineStr">
        <is>
          <t>Chưa query</t>
        </is>
      </c>
      <c r="J17" s="141" t="inlineStr">
        <is>
          <t>Candidate; chưa query</t>
        </is>
      </c>
      <c r="K17" s="142" t="inlineStr">
        <is>
          <t>S02 S3 draft; candidate English</t>
        </is>
      </c>
    </row>
    <row r="18">
      <c r="A18" s="141" t="inlineStr">
        <is>
          <t>Keyword (EN)</t>
        </is>
      </c>
      <c r="B18" s="142" t="inlineStr">
        <is>
          <t>Digiwin semiconductor Vietnam</t>
        </is>
      </c>
      <c r="C18" s="141" t="inlineStr">
        <is>
          <t>EN</t>
        </is>
      </c>
      <c r="D18" s="142" t="inlineStr">
        <is>
          <t>Brand/navigation</t>
        </is>
      </c>
      <c r="E18" s="142" t="inlineStr">
        <is>
          <t>Brand candidate</t>
        </is>
      </c>
      <c r="F18" s="141" t="inlineStr">
        <is>
          <t>Exact</t>
        </is>
      </c>
      <c r="G18" s="143" t="inlineStr">
        <is>
          <t>- (no displayed data)</t>
        </is>
      </c>
      <c r="H18" s="142" t="inlineStr">
        <is>
          <t>Vietnam, Sep 2025-Aug 2026</t>
        </is>
      </c>
      <c r="I18" s="141" t="inlineStr">
        <is>
          <t>Chưa query</t>
        </is>
      </c>
      <c r="J18" s="141" t="inlineStr">
        <is>
          <t>Candidate; chưa query</t>
        </is>
      </c>
      <c r="K18" s="142" t="inlineStr">
        <is>
          <t>S02 S3 draft; brand candidate English</t>
        </is>
      </c>
    </row>
    <row r="19">
      <c r="A19" s="141" t="inlineStr">
        <is>
          <t>Keyword (zh-Hans)</t>
        </is>
      </c>
      <c r="B19" s="142" t="inlineStr">
        <is>
          <t>半导体封装测试 MES</t>
        </is>
      </c>
      <c r="C19" s="141" t="inlineStr">
        <is>
          <t>zh-Hans China</t>
        </is>
      </c>
      <c r="D19" s="142" t="inlineStr">
        <is>
          <t>Solution</t>
        </is>
      </c>
      <c r="E19" s="142" t="inlineStr">
        <is>
          <t>OSAT</t>
        </is>
      </c>
      <c r="F19" s="141" t="inlineStr">
        <is>
          <t>Phrase</t>
        </is>
      </c>
      <c r="G19" s="143" t="inlineStr">
        <is>
          <t>- (no displayed data)</t>
        </is>
      </c>
      <c r="H19" s="142" t="inlineStr">
        <is>
          <t>Vietnam, Sep 2025-Aug 2026</t>
        </is>
      </c>
      <c r="I19" s="141" t="inlineStr">
        <is>
          <t>Chưa query</t>
        </is>
      </c>
      <c r="J19" s="141" t="inlineStr">
        <is>
          <t>Candidate; chưa query</t>
        </is>
      </c>
      <c r="K19" s="142" t="inlineStr">
        <is>
          <t>S02 S3 draft; thuật ngữ chưa review</t>
        </is>
      </c>
    </row>
    <row r="20">
      <c r="A20" s="141" t="inlineStr">
        <is>
          <t>Keyword (zh-Hans)</t>
        </is>
      </c>
      <c r="B20" s="142" t="inlineStr">
        <is>
          <t>半导体批次追溯</t>
        </is>
      </c>
      <c r="C20" s="141" t="inlineStr">
        <is>
          <t>zh-Hans China</t>
        </is>
      </c>
      <c r="D20" s="142" t="inlineStr">
        <is>
          <t>Problem/solution</t>
        </is>
      </c>
      <c r="E20" s="142" t="inlineStr">
        <is>
          <t>OSAT</t>
        </is>
      </c>
      <c r="F20" s="141" t="inlineStr">
        <is>
          <t>Exact</t>
        </is>
      </c>
      <c r="G20" s="143" t="inlineStr">
        <is>
          <t>- (no displayed data)</t>
        </is>
      </c>
      <c r="H20" s="142" t="inlineStr">
        <is>
          <t>Vietnam, Sep 2025-Aug 2026</t>
        </is>
      </c>
      <c r="I20" s="141" t="inlineStr">
        <is>
          <t>Chưa query</t>
        </is>
      </c>
      <c r="J20" s="141" t="inlineStr">
        <is>
          <t>Candidate; chưa query</t>
        </is>
      </c>
      <c r="K20" s="142" t="inlineStr">
        <is>
          <t>S02 S3 draft; thuật ngữ chưa review</t>
        </is>
      </c>
    </row>
    <row r="21">
      <c r="A21" s="141" t="inlineStr">
        <is>
          <t>Keyword (zh-Hans)</t>
        </is>
      </c>
      <c r="B21" s="142" t="inlineStr">
        <is>
          <t>无晶圆厂外包生产在制品管理</t>
        </is>
      </c>
      <c r="C21" s="141" t="inlineStr">
        <is>
          <t>zh-Hans China</t>
        </is>
      </c>
      <c r="D21" s="142" t="inlineStr">
        <is>
          <t>Solution</t>
        </is>
      </c>
      <c r="E21" s="142" t="inlineStr">
        <is>
          <t>Fabless</t>
        </is>
      </c>
      <c r="F21" s="141" t="inlineStr">
        <is>
          <t>Phrase</t>
        </is>
      </c>
      <c r="G21" s="143" t="inlineStr">
        <is>
          <t>- (no displayed data)</t>
        </is>
      </c>
      <c r="H21" s="142" t="inlineStr">
        <is>
          <t>Vietnam, Sep 2025-Aug 2026</t>
        </is>
      </c>
      <c r="I21" s="141" t="inlineStr">
        <is>
          <t>Chưa query</t>
        </is>
      </c>
      <c r="J21" s="141" t="inlineStr">
        <is>
          <t>Candidate; chưa query</t>
        </is>
      </c>
      <c r="K21" s="142" t="inlineStr">
        <is>
          <t>S02 S3 draft; thuật ngữ chưa review</t>
        </is>
      </c>
    </row>
    <row r="22">
      <c r="A22" s="141" t="inlineStr">
        <is>
          <t>Keyword (zh-Hans)</t>
        </is>
      </c>
      <c r="B22" s="142" t="inlineStr">
        <is>
          <t>芯片委外生产追踪</t>
        </is>
      </c>
      <c r="C22" s="141" t="inlineStr">
        <is>
          <t>zh-Hans China</t>
        </is>
      </c>
      <c r="D22" s="142" t="inlineStr">
        <is>
          <t>Problem/solution</t>
        </is>
      </c>
      <c r="E22" s="142" t="inlineStr">
        <is>
          <t>Fabless</t>
        </is>
      </c>
      <c r="F22" s="141" t="inlineStr">
        <is>
          <t>Exact</t>
        </is>
      </c>
      <c r="G22" s="143" t="inlineStr">
        <is>
          <t>- (no displayed data)</t>
        </is>
      </c>
      <c r="H22" s="142" t="inlineStr">
        <is>
          <t>Vietnam, Sep 2025-Aug 2026</t>
        </is>
      </c>
      <c r="I22" s="141" t="inlineStr">
        <is>
          <t>Chưa query</t>
        </is>
      </c>
      <c r="J22" s="141" t="inlineStr">
        <is>
          <t>Candidate; chưa query</t>
        </is>
      </c>
      <c r="K22" s="142" t="inlineStr">
        <is>
          <t>S02 S3 draft; thuật ngữ chưa review</t>
        </is>
      </c>
    </row>
    <row r="23">
      <c r="A23" s="141" t="inlineStr">
        <is>
          <t>Keyword (zh-Hans)</t>
        </is>
      </c>
      <c r="B23" s="142" t="inlineStr">
        <is>
          <t>半导体工厂 ERP MES 集成</t>
        </is>
      </c>
      <c r="C23" s="141" t="inlineStr">
        <is>
          <t>zh-Hans China</t>
        </is>
      </c>
      <c r="D23" s="142" t="inlineStr">
        <is>
          <t>Solution</t>
        </is>
      </c>
      <c r="E23" s="142" t="inlineStr">
        <is>
          <t>Supplier/Partner</t>
        </is>
      </c>
      <c r="F23" s="141" t="inlineStr">
        <is>
          <t>Phrase</t>
        </is>
      </c>
      <c r="G23" s="143" t="inlineStr">
        <is>
          <t>- (no displayed data)</t>
        </is>
      </c>
      <c r="H23" s="142" t="inlineStr">
        <is>
          <t>Vietnam, Sep 2025-Aug 2026</t>
        </is>
      </c>
      <c r="I23" s="141" t="inlineStr">
        <is>
          <t>Chưa query</t>
        </is>
      </c>
      <c r="J23" s="141" t="inlineStr">
        <is>
          <t>Candidate; chưa query</t>
        </is>
      </c>
      <c r="K23" s="142" t="inlineStr">
        <is>
          <t>S02 S3 draft; thuật ngữ chưa review</t>
        </is>
      </c>
    </row>
    <row r="24">
      <c r="A24" s="141" t="inlineStr">
        <is>
          <t>Keyword (zh-Hans)</t>
        </is>
      </c>
      <c r="B24" s="142" t="inlineStr">
        <is>
          <t>越南半导体 MES 集成合作伙伴</t>
        </is>
      </c>
      <c r="C24" s="141" t="inlineStr">
        <is>
          <t>zh-Hans China</t>
        </is>
      </c>
      <c r="D24" s="142" t="inlineStr">
        <is>
          <t>Partner/solution</t>
        </is>
      </c>
      <c r="E24" s="142" t="inlineStr">
        <is>
          <t>Supplier/Partner</t>
        </is>
      </c>
      <c r="F24" s="141" t="inlineStr">
        <is>
          <t>Exact</t>
        </is>
      </c>
      <c r="G24" s="143" t="inlineStr">
        <is>
          <t>- (no displayed data)</t>
        </is>
      </c>
      <c r="H24" s="142" t="inlineStr">
        <is>
          <t>Vietnam, Sep 2025-Aug 2026</t>
        </is>
      </c>
      <c r="I24" s="141" t="inlineStr">
        <is>
          <t>Chưa query</t>
        </is>
      </c>
      <c r="J24" s="141" t="inlineStr">
        <is>
          <t>Candidate; chưa query</t>
        </is>
      </c>
      <c r="K24" s="142" t="inlineStr">
        <is>
          <t>S02 S3 draft; thuật ngữ chưa review</t>
        </is>
      </c>
    </row>
    <row r="25">
      <c r="A25" s="141" t="inlineStr">
        <is>
          <t>Keyword (zh-Hans)</t>
        </is>
      </c>
      <c r="B25" s="142" t="inlineStr">
        <is>
          <t>鼎捷 越南 半导体</t>
        </is>
      </c>
      <c r="C25" s="141" t="inlineStr">
        <is>
          <t>zh-Hans China</t>
        </is>
      </c>
      <c r="D25" s="142" t="inlineStr">
        <is>
          <t>Brand/navigation</t>
        </is>
      </c>
      <c r="E25" s="142" t="inlineStr">
        <is>
          <t>Brand candidate</t>
        </is>
      </c>
      <c r="F25" s="141" t="inlineStr">
        <is>
          <t>Exact</t>
        </is>
      </c>
      <c r="G25" s="143" t="inlineStr">
        <is>
          <t>- (no displayed data)</t>
        </is>
      </c>
      <c r="H25" s="142" t="inlineStr">
        <is>
          <t>Vietnam, Sep 2025-Aug 2026</t>
        </is>
      </c>
      <c r="I25" s="141" t="inlineStr">
        <is>
          <t>Chưa query</t>
        </is>
      </c>
      <c r="J25" s="141" t="inlineStr">
        <is>
          <t>Candidate; chưa query</t>
        </is>
      </c>
      <c r="K25" s="142" t="inlineStr">
        <is>
          <t>S02 S3 draft; brand/thuật ngữ chưa review</t>
        </is>
      </c>
    </row>
    <row r="26">
      <c r="A26" s="141" t="inlineStr">
        <is>
          <t>Keyword (zh-Hant)</t>
        </is>
      </c>
      <c r="B26" s="142" t="inlineStr">
        <is>
          <t>半導體封裝測試 MES</t>
        </is>
      </c>
      <c r="C26" s="141" t="inlineStr">
        <is>
          <t>zh-Hant Taiwan</t>
        </is>
      </c>
      <c r="D26" s="142" t="inlineStr">
        <is>
          <t>Solution</t>
        </is>
      </c>
      <c r="E26" s="142" t="inlineStr">
        <is>
          <t>OSAT</t>
        </is>
      </c>
      <c r="F26" s="141" t="inlineStr">
        <is>
          <t>Phrase</t>
        </is>
      </c>
      <c r="G26" s="143" t="inlineStr">
        <is>
          <t>- (no displayed data)</t>
        </is>
      </c>
      <c r="H26" s="142" t="inlineStr">
        <is>
          <t>Vietnam, Sep 2025-Aug 2026</t>
        </is>
      </c>
      <c r="I26" s="141" t="inlineStr">
        <is>
          <t>Chưa query</t>
        </is>
      </c>
      <c r="J26" s="141" t="inlineStr">
        <is>
          <t>Candidate; chưa query</t>
        </is>
      </c>
      <c r="K26" s="142" t="inlineStr">
        <is>
          <t>S02 S3 draft; thuật ngữ chưa review</t>
        </is>
      </c>
    </row>
    <row r="27">
      <c r="A27" s="141" t="inlineStr">
        <is>
          <t>Keyword (zh-Hant)</t>
        </is>
      </c>
      <c r="B27" s="142" t="inlineStr">
        <is>
          <t>半導體批次追溯</t>
        </is>
      </c>
      <c r="C27" s="141" t="inlineStr">
        <is>
          <t>zh-Hant Taiwan</t>
        </is>
      </c>
      <c r="D27" s="142" t="inlineStr">
        <is>
          <t>Problem/solution</t>
        </is>
      </c>
      <c r="E27" s="142" t="inlineStr">
        <is>
          <t>OSAT</t>
        </is>
      </c>
      <c r="F27" s="141" t="inlineStr">
        <is>
          <t>Exact</t>
        </is>
      </c>
      <c r="G27" s="143" t="inlineStr">
        <is>
          <t>- (no displayed data)</t>
        </is>
      </c>
      <c r="H27" s="142" t="inlineStr">
        <is>
          <t>Vietnam, Sep 2025-Aug 2026</t>
        </is>
      </c>
      <c r="I27" s="141" t="inlineStr">
        <is>
          <t>Chưa query</t>
        </is>
      </c>
      <c r="J27" s="141" t="inlineStr">
        <is>
          <t>Candidate; chưa query</t>
        </is>
      </c>
      <c r="K27" s="142" t="inlineStr">
        <is>
          <t>S02 S3 draft; thuật ngữ chưa review</t>
        </is>
      </c>
    </row>
    <row r="28">
      <c r="A28" s="141" t="inlineStr">
        <is>
          <t>Keyword (zh-Hant)</t>
        </is>
      </c>
      <c r="B28" s="142" t="inlineStr">
        <is>
          <t>無晶圓廠委外生產在製品管理</t>
        </is>
      </c>
      <c r="C28" s="141" t="inlineStr">
        <is>
          <t>zh-Hant Taiwan</t>
        </is>
      </c>
      <c r="D28" s="142" t="inlineStr">
        <is>
          <t>Solution</t>
        </is>
      </c>
      <c r="E28" s="142" t="inlineStr">
        <is>
          <t>Fabless</t>
        </is>
      </c>
      <c r="F28" s="141" t="inlineStr">
        <is>
          <t>Phrase</t>
        </is>
      </c>
      <c r="G28" s="143" t="inlineStr">
        <is>
          <t>- (no displayed data)</t>
        </is>
      </c>
      <c r="H28" s="142" t="inlineStr">
        <is>
          <t>Vietnam, Sep 2025-Aug 2026</t>
        </is>
      </c>
      <c r="I28" s="141" t="inlineStr">
        <is>
          <t>Chưa query</t>
        </is>
      </c>
      <c r="J28" s="141" t="inlineStr">
        <is>
          <t>Candidate; chưa query</t>
        </is>
      </c>
      <c r="K28" s="142" t="inlineStr">
        <is>
          <t>S02 S3 draft; thuật ngữ chưa review</t>
        </is>
      </c>
    </row>
    <row r="29">
      <c r="A29" s="141" t="inlineStr">
        <is>
          <t>Keyword (zh-Hant)</t>
        </is>
      </c>
      <c r="B29" s="142" t="inlineStr">
        <is>
          <t>晶片委外生產追蹤</t>
        </is>
      </c>
      <c r="C29" s="141" t="inlineStr">
        <is>
          <t>zh-Hant Taiwan</t>
        </is>
      </c>
      <c r="D29" s="142" t="inlineStr">
        <is>
          <t>Problem/solution</t>
        </is>
      </c>
      <c r="E29" s="142" t="inlineStr">
        <is>
          <t>Fabless</t>
        </is>
      </c>
      <c r="F29" s="141" t="inlineStr">
        <is>
          <t>Exact</t>
        </is>
      </c>
      <c r="G29" s="143" t="inlineStr">
        <is>
          <t>- (no displayed data)</t>
        </is>
      </c>
      <c r="H29" s="142" t="inlineStr">
        <is>
          <t>Vietnam, Sep 2025-Aug 2026</t>
        </is>
      </c>
      <c r="I29" s="141" t="inlineStr">
        <is>
          <t>Chưa query</t>
        </is>
      </c>
      <c r="J29" s="141" t="inlineStr">
        <is>
          <t>Candidate; chưa query</t>
        </is>
      </c>
      <c r="K29" s="142" t="inlineStr">
        <is>
          <t>S02 S3 draft; thuật ngữ chưa review</t>
        </is>
      </c>
    </row>
    <row r="30">
      <c r="A30" s="141" t="inlineStr">
        <is>
          <t>Keyword (zh-Hant)</t>
        </is>
      </c>
      <c r="B30" s="142" t="inlineStr">
        <is>
          <t>半導體工廠 ERP MES 整合</t>
        </is>
      </c>
      <c r="C30" s="141" t="inlineStr">
        <is>
          <t>zh-Hant Taiwan</t>
        </is>
      </c>
      <c r="D30" s="142" t="inlineStr">
        <is>
          <t>Solution</t>
        </is>
      </c>
      <c r="E30" s="142" t="inlineStr">
        <is>
          <t>Supplier/Partner</t>
        </is>
      </c>
      <c r="F30" s="141" t="inlineStr">
        <is>
          <t>Phrase</t>
        </is>
      </c>
      <c r="G30" s="143" t="inlineStr">
        <is>
          <t>- (no displayed data)</t>
        </is>
      </c>
      <c r="H30" s="142" t="inlineStr">
        <is>
          <t>Vietnam, Sep 2025-Aug 2026</t>
        </is>
      </c>
      <c r="I30" s="141" t="inlineStr">
        <is>
          <t>Chưa query</t>
        </is>
      </c>
      <c r="J30" s="141" t="inlineStr">
        <is>
          <t>Candidate; chưa query</t>
        </is>
      </c>
      <c r="K30" s="142" t="inlineStr">
        <is>
          <t>S02 S3 draft; thuật ngữ chưa review</t>
        </is>
      </c>
    </row>
    <row r="31">
      <c r="A31" s="141" t="inlineStr">
        <is>
          <t>Keyword (zh-Hant)</t>
        </is>
      </c>
      <c r="B31" s="142" t="inlineStr">
        <is>
          <t>越南半導體 MES 系統整合夥伴</t>
        </is>
      </c>
      <c r="C31" s="141" t="inlineStr">
        <is>
          <t>zh-Hant Taiwan</t>
        </is>
      </c>
      <c r="D31" s="142" t="inlineStr">
        <is>
          <t>Partner/solution</t>
        </is>
      </c>
      <c r="E31" s="142" t="inlineStr">
        <is>
          <t>Supplier/Partner</t>
        </is>
      </c>
      <c r="F31" s="141" t="inlineStr">
        <is>
          <t>Exact</t>
        </is>
      </c>
      <c r="G31" s="143" t="inlineStr">
        <is>
          <t>- (no displayed data)</t>
        </is>
      </c>
      <c r="H31" s="142" t="inlineStr">
        <is>
          <t>Vietnam, Sep 2025-Aug 2026</t>
        </is>
      </c>
      <c r="I31" s="141" t="inlineStr">
        <is>
          <t>Chưa query</t>
        </is>
      </c>
      <c r="J31" s="141" t="inlineStr">
        <is>
          <t>Candidate; chưa query</t>
        </is>
      </c>
      <c r="K31" s="142" t="inlineStr">
        <is>
          <t>S02 S3 draft; thuật ngữ chưa review</t>
        </is>
      </c>
    </row>
    <row r="32">
      <c r="A32" s="141" t="inlineStr">
        <is>
          <t>Keyword (zh-Hant)</t>
        </is>
      </c>
      <c r="B32" s="142" t="inlineStr">
        <is>
          <t>鼎捷 越南 半導體</t>
        </is>
      </c>
      <c r="C32" s="141" t="inlineStr">
        <is>
          <t>zh-Hant Taiwan</t>
        </is>
      </c>
      <c r="D32" s="142" t="inlineStr">
        <is>
          <t>Brand/navigation</t>
        </is>
      </c>
      <c r="E32" s="142" t="inlineStr">
        <is>
          <t>Brand candidate</t>
        </is>
      </c>
      <c r="F32" s="141" t="inlineStr">
        <is>
          <t>Exact</t>
        </is>
      </c>
      <c r="G32" s="143" t="inlineStr">
        <is>
          <t>- (no displayed data)</t>
        </is>
      </c>
      <c r="H32" s="142" t="inlineStr">
        <is>
          <t>Vietnam, Sep 2025-Aug 2026</t>
        </is>
      </c>
      <c r="I32" s="141" t="inlineStr">
        <is>
          <t>Chưa query</t>
        </is>
      </c>
      <c r="J32" s="141" t="inlineStr">
        <is>
          <t>Candidate; chưa query</t>
        </is>
      </c>
      <c r="K32" s="142" t="inlineStr">
        <is>
          <t>S02 S3 draft; brand/thuật ngữ chưa review</t>
        </is>
      </c>
    </row>
    <row r="33">
      <c r="A33" s="141" t="inlineStr">
        <is>
          <t>Keyword (Observed)</t>
        </is>
      </c>
      <c r="B33" s="142" t="inlineStr">
        <is>
          <t>electronics manufacturing ERP</t>
        </is>
      </c>
      <c r="C33" s="141" t="inlineStr">
        <is>
          <t>EN</t>
        </is>
      </c>
      <c r="D33" s="142" t="inlineStr">
        <is>
          <t>Solution</t>
        </is>
      </c>
      <c r="E33" s="142" t="inlineStr">
        <is>
          <t>Supplier/Partner</t>
        </is>
      </c>
      <c r="F33" s="141" t="inlineStr">
        <is>
          <t>Phrase</t>
        </is>
      </c>
      <c r="G33" s="143" t="inlineStr">
        <is>
          <t>10</t>
        </is>
      </c>
      <c r="H33" s="142" t="inlineStr">
        <is>
          <t>Vietnam, Sep 2025-Aug 2026</t>
        </is>
      </c>
      <c r="I33" s="141" t="inlineStr">
        <is>
          <t>2026-09-14</t>
        </is>
      </c>
      <c r="J33" s="141" t="inlineStr">
        <is>
          <t>Quan sát Keyword Planner</t>
        </is>
      </c>
      <c r="K33" s="142" t="inlineStr">
        <is>
          <t>Ước tính lịch sử thực tế: 10 volume, 0% 3mo, -100% YoY</t>
        </is>
      </c>
    </row>
    <row r="34">
      <c r="A34" s="144" t="inlineStr">
        <is>
          <t>Brand</t>
        </is>
      </c>
      <c r="B34" s="145" t="inlineStr">
        <is>
          <t>Digiwin</t>
        </is>
      </c>
      <c r="C34" s="141" t="inlineStr">
        <is>
          <t>VI / EN</t>
        </is>
      </c>
      <c r="D34" s="142" t="inlineStr">
        <is>
          <t>Brand navigation</t>
        </is>
      </c>
      <c r="E34" s="142" t="inlineStr">
        <is>
          <t>Toàn chiến dịch</t>
        </is>
      </c>
      <c r="F34" s="141" t="inlineStr">
        <is>
          <t>Phrase</t>
        </is>
      </c>
      <c r="G34" s="143" t="inlineStr">
        <is>
          <t>- (no displayed data)</t>
        </is>
      </c>
      <c r="H34" s="142" t="inlineStr">
        <is>
          <t>Vietnam, Sep 2025-Aug 2026</t>
        </is>
      </c>
      <c r="I34" s="141" t="inlineStr">
        <is>
          <t>Chưa query</t>
        </is>
      </c>
      <c r="J34" s="141" t="inlineStr">
        <is>
          <t>Brand candidate</t>
        </is>
      </c>
      <c r="K34" s="142" t="inlineStr">
        <is>
          <t>Brand gốc quốc tế của tập đoàn</t>
        </is>
      </c>
    </row>
    <row r="35">
      <c r="A35" s="144" t="inlineStr">
        <is>
          <t>Brand</t>
        </is>
      </c>
      <c r="B35" s="145" t="inlineStr">
        <is>
          <t>Đỉnh Trí</t>
        </is>
      </c>
      <c r="C35" s="141" t="inlineStr">
        <is>
          <t>VI</t>
        </is>
      </c>
      <c r="D35" s="142" t="inlineStr">
        <is>
          <t>Brand navigation</t>
        </is>
      </c>
      <c r="E35" s="142" t="inlineStr">
        <is>
          <t>Toàn chiến dịch</t>
        </is>
      </c>
      <c r="F35" s="141" t="inlineStr">
        <is>
          <t>Phrase</t>
        </is>
      </c>
      <c r="G35" s="143" t="inlineStr">
        <is>
          <t>- (no displayed data)</t>
        </is>
      </c>
      <c r="H35" s="142" t="inlineStr">
        <is>
          <t>Vietnam, Sep 2025-Aug 2026</t>
        </is>
      </c>
      <c r="I35" s="141" t="inlineStr">
        <is>
          <t>Chưa query</t>
        </is>
      </c>
      <c r="J35" s="141" t="inlineStr">
        <is>
          <t>Brand candidate</t>
        </is>
      </c>
      <c r="K35" s="142" t="inlineStr">
        <is>
          <t>Tên pháp nhân công ty Digiwin tại Việt Nam</t>
        </is>
      </c>
    </row>
    <row r="36">
      <c r="A36" s="144" t="inlineStr">
        <is>
          <t>Brand</t>
        </is>
      </c>
      <c r="B36" s="145" t="inlineStr">
        <is>
          <t>Dingjie</t>
        </is>
      </c>
      <c r="C36" s="141" t="inlineStr">
        <is>
          <t>Pinyin / ZH</t>
        </is>
      </c>
      <c r="D36" s="142" t="inlineStr">
        <is>
          <t>Brand navigation</t>
        </is>
      </c>
      <c r="E36" s="142" t="inlineStr">
        <is>
          <t>Toàn chiến dịch</t>
        </is>
      </c>
      <c r="F36" s="141" t="inlineStr">
        <is>
          <t>Phrase</t>
        </is>
      </c>
      <c r="G36" s="143" t="inlineStr">
        <is>
          <t>- (no displayed data)</t>
        </is>
      </c>
      <c r="H36" s="142" t="inlineStr">
        <is>
          <t>Vietnam, Sep 2025-Aug 2026</t>
        </is>
      </c>
      <c r="I36" s="141" t="inlineStr">
        <is>
          <t>Chưa query</t>
        </is>
      </c>
      <c r="J36" s="141" t="inlineStr">
        <is>
          <t>Brand candidate</t>
        </is>
      </c>
      <c r="K36" s="142" t="inlineStr">
        <is>
          <t>Phiên âm thương hiệu Đài Loan / Trung Quốc</t>
        </is>
      </c>
    </row>
    <row r="37">
      <c r="A37" s="141" t="inlineStr">
        <is>
          <t>Negative review</t>
        </is>
      </c>
      <c r="B37" s="142" t="inlineStr">
        <is>
          <t>cổ phiếu</t>
        </is>
      </c>
      <c r="C37" s="141" t="inlineStr">
        <is>
          <t>VI</t>
        </is>
      </c>
      <c r="D37" s="142" t="inlineStr">
        <is>
          <t>Stock/investment</t>
        </is>
      </c>
      <c r="E37" s="142" t="inlineStr">
        <is>
          <t>Toàn chiến dịch</t>
        </is>
      </c>
      <c r="F37" s="141" t="inlineStr">
        <is>
          <t>Negative phrase</t>
        </is>
      </c>
      <c r="G37" s="143" t="inlineStr">
        <is>
          <t>- (negative)</t>
        </is>
      </c>
      <c r="H37" s="142" t="inlineStr">
        <is>
          <t>Toàn quốc</t>
        </is>
      </c>
      <c r="I37" s="141" t="inlineStr">
        <is>
          <t>2026-09-14</t>
        </is>
      </c>
      <c r="J37" s="141" t="inlineStr">
        <is>
          <t>Chưa áp dụng</t>
        </is>
      </c>
      <c r="K37" s="142" t="inlineStr">
        <is>
          <t>Loại trừ tin tức tài chính, thị trường chứng khoán</t>
        </is>
      </c>
    </row>
    <row r="38">
      <c r="A38" s="141" t="inlineStr">
        <is>
          <t>Negative review</t>
        </is>
      </c>
      <c r="B38" s="142" t="inlineStr">
        <is>
          <t>chứng khoán</t>
        </is>
      </c>
      <c r="C38" s="141" t="inlineStr">
        <is>
          <t>VI</t>
        </is>
      </c>
      <c r="D38" s="142" t="inlineStr">
        <is>
          <t>Stock/investment</t>
        </is>
      </c>
      <c r="E38" s="142" t="inlineStr">
        <is>
          <t>Toàn chiến dịch</t>
        </is>
      </c>
      <c r="F38" s="141" t="inlineStr">
        <is>
          <t>Negative phrase</t>
        </is>
      </c>
      <c r="G38" s="143" t="inlineStr">
        <is>
          <t>- (negative)</t>
        </is>
      </c>
      <c r="H38" s="142" t="inlineStr">
        <is>
          <t>Toàn quốc</t>
        </is>
      </c>
      <c r="I38" s="141" t="inlineStr">
        <is>
          <t>2026-09-14</t>
        </is>
      </c>
      <c r="J38" s="141" t="inlineStr">
        <is>
          <t>Chưa áp dụng</t>
        </is>
      </c>
      <c r="K38" s="142" t="inlineStr">
        <is>
          <t>Loại trừ tìm kiếm sàn giao dịch, mã cổ phiếu</t>
        </is>
      </c>
    </row>
    <row r="39">
      <c r="A39" s="141" t="inlineStr">
        <is>
          <t>Negative review</t>
        </is>
      </c>
      <c r="B39" s="142" t="inlineStr">
        <is>
          <t>stock</t>
        </is>
      </c>
      <c r="C39" s="141" t="inlineStr">
        <is>
          <t>EN</t>
        </is>
      </c>
      <c r="D39" s="142" t="inlineStr">
        <is>
          <t>Stock/investment</t>
        </is>
      </c>
      <c r="E39" s="142" t="inlineStr">
        <is>
          <t>Toàn chiến dịch</t>
        </is>
      </c>
      <c r="F39" s="141" t="inlineStr">
        <is>
          <t>Negative phrase</t>
        </is>
      </c>
      <c r="G39" s="143" t="inlineStr">
        <is>
          <t>- (negative)</t>
        </is>
      </c>
      <c r="H39" s="142" t="inlineStr">
        <is>
          <t>Toàn quốc</t>
        </is>
      </c>
      <c r="I39" s="141" t="inlineStr">
        <is>
          <t>2026-09-14</t>
        </is>
      </c>
      <c r="J39" s="141" t="inlineStr">
        <is>
          <t>Chưa áp dụng</t>
        </is>
      </c>
      <c r="K39" s="142" t="inlineStr">
        <is>
          <t>Loại trừ tìm kiếm tài chính tiếng Anh</t>
        </is>
      </c>
    </row>
    <row r="40">
      <c r="A40" s="141" t="inlineStr">
        <is>
          <t>Negative review</t>
        </is>
      </c>
      <c r="B40" s="142" t="inlineStr">
        <is>
          <t>investment</t>
        </is>
      </c>
      <c r="C40" s="141" t="inlineStr">
        <is>
          <t>EN</t>
        </is>
      </c>
      <c r="D40" s="142" t="inlineStr">
        <is>
          <t>Stock/investment</t>
        </is>
      </c>
      <c r="E40" s="142" t="inlineStr">
        <is>
          <t>Toàn chiến dịch</t>
        </is>
      </c>
      <c r="F40" s="141" t="inlineStr">
        <is>
          <t>Negative phrase</t>
        </is>
      </c>
      <c r="G40" s="143" t="inlineStr">
        <is>
          <t>- (negative)</t>
        </is>
      </c>
      <c r="H40" s="142" t="inlineStr">
        <is>
          <t>Toàn quốc</t>
        </is>
      </c>
      <c r="I40" s="141" t="inlineStr">
        <is>
          <t>2026-09-14</t>
        </is>
      </c>
      <c r="J40" s="141" t="inlineStr">
        <is>
          <t>Chưa áp dụng</t>
        </is>
      </c>
      <c r="K40" s="142" t="inlineStr">
        <is>
          <t>Loại trừ đầu tư tài chính; kiểm tra kỹ ngữ cảnh procurement</t>
        </is>
      </c>
    </row>
    <row r="41">
      <c r="A41" s="141" t="inlineStr">
        <is>
          <t>Negative review</t>
        </is>
      </c>
      <c r="B41" s="142" t="inlineStr">
        <is>
          <t>tuyển dụng</t>
        </is>
      </c>
      <c r="C41" s="141" t="inlineStr">
        <is>
          <t>VI</t>
        </is>
      </c>
      <c r="D41" s="142" t="inlineStr">
        <is>
          <t>Employment</t>
        </is>
      </c>
      <c r="E41" s="142" t="inlineStr">
        <is>
          <t>Toàn chiến dịch</t>
        </is>
      </c>
      <c r="F41" s="141" t="inlineStr">
        <is>
          <t>Negative phrase</t>
        </is>
      </c>
      <c r="G41" s="143" t="inlineStr">
        <is>
          <t>- (negative)</t>
        </is>
      </c>
      <c r="H41" s="142" t="inlineStr">
        <is>
          <t>Toàn quốc</t>
        </is>
      </c>
      <c r="I41" s="141" t="inlineStr">
        <is>
          <t>2026-09-14</t>
        </is>
      </c>
      <c r="J41" s="141" t="inlineStr">
        <is>
          <t>Chưa áp dụng</t>
        </is>
      </c>
      <c r="K41" s="142" t="inlineStr">
        <is>
          <t>Loại trừ tìm kiếm việc làm, việc tuyển nhân sự</t>
        </is>
      </c>
    </row>
    <row r="42">
      <c r="A42" s="141" t="inlineStr">
        <is>
          <t>Negative review</t>
        </is>
      </c>
      <c r="B42" s="142" t="inlineStr">
        <is>
          <t>việc làm</t>
        </is>
      </c>
      <c r="C42" s="141" t="inlineStr">
        <is>
          <t>VI</t>
        </is>
      </c>
      <c r="D42" s="142" t="inlineStr">
        <is>
          <t>Employment</t>
        </is>
      </c>
      <c r="E42" s="142" t="inlineStr">
        <is>
          <t>Toàn chiến dịch</t>
        </is>
      </c>
      <c r="F42" s="141" t="inlineStr">
        <is>
          <t>Negative phrase</t>
        </is>
      </c>
      <c r="G42" s="143" t="inlineStr">
        <is>
          <t>- (negative)</t>
        </is>
      </c>
      <c r="H42" s="142" t="inlineStr">
        <is>
          <t>Toàn quốc</t>
        </is>
      </c>
      <c r="I42" s="141" t="inlineStr">
        <is>
          <t>2026-09-14</t>
        </is>
      </c>
      <c r="J42" s="141" t="inlineStr">
        <is>
          <t>Chưa áp dụng</t>
        </is>
      </c>
      <c r="K42" s="142" t="inlineStr">
        <is>
          <t>Loại trừ ứng viên tìm việc</t>
        </is>
      </c>
    </row>
    <row r="43">
      <c r="A43" s="141" t="inlineStr">
        <is>
          <t>Negative review</t>
        </is>
      </c>
      <c r="B43" s="142" t="inlineStr">
        <is>
          <t>job</t>
        </is>
      </c>
      <c r="C43" s="141" t="inlineStr">
        <is>
          <t>EN</t>
        </is>
      </c>
      <c r="D43" s="142" t="inlineStr">
        <is>
          <t>Employment</t>
        </is>
      </c>
      <c r="E43" s="142" t="inlineStr">
        <is>
          <t>Toàn chiến dịch</t>
        </is>
      </c>
      <c r="F43" s="141" t="inlineStr">
        <is>
          <t>Negative phrase</t>
        </is>
      </c>
      <c r="G43" s="143" t="inlineStr">
        <is>
          <t>- (negative)</t>
        </is>
      </c>
      <c r="H43" s="142" t="inlineStr">
        <is>
          <t>Toàn quốc</t>
        </is>
      </c>
      <c r="I43" s="141" t="inlineStr">
        <is>
          <t>2026-09-14</t>
        </is>
      </c>
      <c r="J43" s="141" t="inlineStr">
        <is>
          <t>Chưa áp dụng</t>
        </is>
      </c>
      <c r="K43" s="142" t="inlineStr">
        <is>
          <t>Loại trừ tìm kiếm việc làm tiếng Anh</t>
        </is>
      </c>
    </row>
    <row r="44">
      <c r="A44" s="141" t="inlineStr">
        <is>
          <t>Negative review</t>
        </is>
      </c>
      <c r="B44" s="142" t="inlineStr">
        <is>
          <t>career</t>
        </is>
      </c>
      <c r="C44" s="141" t="inlineStr">
        <is>
          <t>EN</t>
        </is>
      </c>
      <c r="D44" s="142" t="inlineStr">
        <is>
          <t>Employment</t>
        </is>
      </c>
      <c r="E44" s="142" t="inlineStr">
        <is>
          <t>Toàn chiến dịch</t>
        </is>
      </c>
      <c r="F44" s="141" t="inlineStr">
        <is>
          <t>Negative phrase</t>
        </is>
      </c>
      <c r="G44" s="143" t="inlineStr">
        <is>
          <t>- (negative)</t>
        </is>
      </c>
      <c r="H44" s="142" t="inlineStr">
        <is>
          <t>Toàn quốc</t>
        </is>
      </c>
      <c r="I44" s="141" t="inlineStr">
        <is>
          <t>2026-09-14</t>
        </is>
      </c>
      <c r="J44" s="141" t="inlineStr">
        <is>
          <t>Chưa áp dụng</t>
        </is>
      </c>
      <c r="K44" s="142" t="inlineStr">
        <is>
          <t>Loại trừ cơ hội nghề nghiệp</t>
        </is>
      </c>
    </row>
    <row r="45">
      <c r="A45" s="141" t="inlineStr">
        <is>
          <t>Negative review</t>
        </is>
      </c>
      <c r="B45" s="142" t="inlineStr">
        <is>
          <t>salary</t>
        </is>
      </c>
      <c r="C45" s="141" t="inlineStr">
        <is>
          <t>EN</t>
        </is>
      </c>
      <c r="D45" s="142" t="inlineStr">
        <is>
          <t>Employment</t>
        </is>
      </c>
      <c r="E45" s="142" t="inlineStr">
        <is>
          <t>Toàn chiến dịch</t>
        </is>
      </c>
      <c r="F45" s="141" t="inlineStr">
        <is>
          <t>Negative phrase</t>
        </is>
      </c>
      <c r="G45" s="143" t="inlineStr">
        <is>
          <t>- (negative)</t>
        </is>
      </c>
      <c r="H45" s="142" t="inlineStr">
        <is>
          <t>Toàn quốc</t>
        </is>
      </c>
      <c r="I45" s="141" t="inlineStr">
        <is>
          <t>2026-09-14</t>
        </is>
      </c>
      <c r="J45" s="141" t="inlineStr">
        <is>
          <t>Chưa áp dụng</t>
        </is>
      </c>
      <c r="K45" s="142" t="inlineStr">
        <is>
          <t>Loại trừ tra cứu bảng lương ngành</t>
        </is>
      </c>
    </row>
    <row r="46">
      <c r="A46" s="141" t="inlineStr">
        <is>
          <t>Negative review</t>
        </is>
      </c>
      <c r="B46" s="142" t="inlineStr">
        <is>
          <t>internship</t>
        </is>
      </c>
      <c r="C46" s="141" t="inlineStr">
        <is>
          <t>EN</t>
        </is>
      </c>
      <c r="D46" s="142" t="inlineStr">
        <is>
          <t>Employment</t>
        </is>
      </c>
      <c r="E46" s="142" t="inlineStr">
        <is>
          <t>Toàn chiến dịch</t>
        </is>
      </c>
      <c r="F46" s="141" t="inlineStr">
        <is>
          <t>Negative phrase</t>
        </is>
      </c>
      <c r="G46" s="143" t="inlineStr">
        <is>
          <t>- (negative)</t>
        </is>
      </c>
      <c r="H46" s="142" t="inlineStr">
        <is>
          <t>Toàn quốc</t>
        </is>
      </c>
      <c r="I46" s="141" t="inlineStr">
        <is>
          <t>2026-09-14</t>
        </is>
      </c>
      <c r="J46" s="141" t="inlineStr">
        <is>
          <t>Chưa áp dụng</t>
        </is>
      </c>
      <c r="K46" s="142" t="inlineStr">
        <is>
          <t>Loại trừ sinh viên thực tập</t>
        </is>
      </c>
    </row>
    <row r="47">
      <c r="A47" s="141" t="inlineStr">
        <is>
          <t>Negative review</t>
        </is>
      </c>
      <c r="B47" s="142" t="inlineStr">
        <is>
          <t>khóa học</t>
        </is>
      </c>
      <c r="C47" s="141" t="inlineStr">
        <is>
          <t>VI</t>
        </is>
      </c>
      <c r="D47" s="142" t="inlineStr">
        <is>
          <t>Education</t>
        </is>
      </c>
      <c r="E47" s="142" t="inlineStr">
        <is>
          <t>Toàn chiến dịch</t>
        </is>
      </c>
      <c r="F47" s="141" t="inlineStr">
        <is>
          <t>Negative phrase</t>
        </is>
      </c>
      <c r="G47" s="143" t="inlineStr">
        <is>
          <t>- (negative)</t>
        </is>
      </c>
      <c r="H47" s="142" t="inlineStr">
        <is>
          <t>Toàn quốc</t>
        </is>
      </c>
      <c r="I47" s="141" t="inlineStr">
        <is>
          <t>2026-09-14</t>
        </is>
      </c>
      <c r="J47" s="141" t="inlineStr">
        <is>
          <t>Chưa áp dụng</t>
        </is>
      </c>
      <c r="K47" s="142" t="inlineStr">
        <is>
          <t>Loại trừ các lớp đào tạo cá nhân</t>
        </is>
      </c>
    </row>
    <row r="48">
      <c r="A48" s="141" t="inlineStr">
        <is>
          <t>Negative review</t>
        </is>
      </c>
      <c r="B48" s="142" t="inlineStr">
        <is>
          <t>là gì</t>
        </is>
      </c>
      <c r="C48" s="141" t="inlineStr">
        <is>
          <t>VI</t>
        </is>
      </c>
      <c r="D48" s="142" t="inlineStr">
        <is>
          <t>Education/informational</t>
        </is>
      </c>
      <c r="E48" s="142" t="inlineStr">
        <is>
          <t>Toàn chiến dịch</t>
        </is>
      </c>
      <c r="F48" s="141" t="inlineStr">
        <is>
          <t>Negative phrase</t>
        </is>
      </c>
      <c r="G48" s="143" t="inlineStr">
        <is>
          <t>- (negative)</t>
        </is>
      </c>
      <c r="H48" s="142" t="inlineStr">
        <is>
          <t>Toàn quốc</t>
        </is>
      </c>
      <c r="I48" s="141" t="inlineStr">
        <is>
          <t>2026-09-14</t>
        </is>
      </c>
      <c r="J48" s="141" t="inlineStr">
        <is>
          <t>Chưa áp dụng</t>
        </is>
      </c>
      <c r="K48" s="142" t="inlineStr">
        <is>
          <t>Loại trừ tra cứu khái niệm cơ bản</t>
        </is>
      </c>
    </row>
    <row r="49">
      <c r="A49" s="141" t="inlineStr">
        <is>
          <t>Negative review</t>
        </is>
      </c>
      <c r="B49" s="142" t="inlineStr">
        <is>
          <t>luận văn</t>
        </is>
      </c>
      <c r="C49" s="141" t="inlineStr">
        <is>
          <t>VI</t>
        </is>
      </c>
      <c r="D49" s="142" t="inlineStr">
        <is>
          <t>Academic research</t>
        </is>
      </c>
      <c r="E49" s="142" t="inlineStr">
        <is>
          <t>Toàn chiến dịch</t>
        </is>
      </c>
      <c r="F49" s="141" t="inlineStr">
        <is>
          <t>Negative phrase</t>
        </is>
      </c>
      <c r="G49" s="143" t="inlineStr">
        <is>
          <t>- (negative)</t>
        </is>
      </c>
      <c r="H49" s="142" t="inlineStr">
        <is>
          <t>Toàn quốc</t>
        </is>
      </c>
      <c r="I49" s="141" t="inlineStr">
        <is>
          <t>2026-09-14</t>
        </is>
      </c>
      <c r="J49" s="141" t="inlineStr">
        <is>
          <t>Chưa áp dụng</t>
        </is>
      </c>
      <c r="K49" s="142" t="inlineStr">
        <is>
          <t>Loại trừ nghiên cứu đề tài đại học/học thuật</t>
        </is>
      </c>
    </row>
    <row r="50">
      <c r="A50" s="141" t="inlineStr">
        <is>
          <t>Negative review</t>
        </is>
      </c>
      <c r="B50" s="142" t="inlineStr">
        <is>
          <t>pdf</t>
        </is>
      </c>
      <c r="C50" s="141" t="inlineStr">
        <is>
          <t>VI / EN</t>
        </is>
      </c>
      <c r="D50" s="142" t="inlineStr">
        <is>
          <t>Non-commercial download</t>
        </is>
      </c>
      <c r="E50" s="142" t="inlineStr">
        <is>
          <t>Toàn chiến dịch</t>
        </is>
      </c>
      <c r="F50" s="141" t="inlineStr">
        <is>
          <t>Negative phrase</t>
        </is>
      </c>
      <c r="G50" s="143" t="inlineStr">
        <is>
          <t>- (negative)</t>
        </is>
      </c>
      <c r="H50" s="142" t="inlineStr">
        <is>
          <t>Toàn quốc</t>
        </is>
      </c>
      <c r="I50" s="141" t="inlineStr">
        <is>
          <t>2026-09-14</t>
        </is>
      </c>
      <c r="J50" s="141" t="inlineStr">
        <is>
          <t>Chưa áp dụng</t>
        </is>
      </c>
      <c r="K50" s="142" t="inlineStr">
        <is>
          <t>Loại trừ người tìm tài liệu đọc miễn phí</t>
        </is>
      </c>
    </row>
    <row r="51">
      <c r="A51" s="141" t="inlineStr">
        <is>
          <t>Negative review</t>
        </is>
      </c>
      <c r="B51" s="142" t="inlineStr">
        <is>
          <t>course</t>
        </is>
      </c>
      <c r="C51" s="141" t="inlineStr">
        <is>
          <t>EN</t>
        </is>
      </c>
      <c r="D51" s="142" t="inlineStr">
        <is>
          <t>Education</t>
        </is>
      </c>
      <c r="E51" s="142" t="inlineStr">
        <is>
          <t>Toàn chiến dịch</t>
        </is>
      </c>
      <c r="F51" s="141" t="inlineStr">
        <is>
          <t>Negative phrase</t>
        </is>
      </c>
      <c r="G51" s="143" t="inlineStr">
        <is>
          <t>- (negative)</t>
        </is>
      </c>
      <c r="H51" s="142" t="inlineStr">
        <is>
          <t>Toàn quốc</t>
        </is>
      </c>
      <c r="I51" s="141" t="inlineStr">
        <is>
          <t>2026-09-14</t>
        </is>
      </c>
      <c r="J51" s="141" t="inlineStr">
        <is>
          <t>Chưa áp dụng</t>
        </is>
      </c>
      <c r="K51" s="142" t="inlineStr">
        <is>
          <t>Loại trừ khóa đào tạo trực tuyến</t>
        </is>
      </c>
    </row>
    <row r="52">
      <c r="A52" s="141" t="inlineStr">
        <is>
          <t>Negative review</t>
        </is>
      </c>
      <c r="B52" s="142" t="inlineStr">
        <is>
          <t>tutorial</t>
        </is>
      </c>
      <c r="C52" s="141" t="inlineStr">
        <is>
          <t>EN</t>
        </is>
      </c>
      <c r="D52" s="142" t="inlineStr">
        <is>
          <t>Education</t>
        </is>
      </c>
      <c r="E52" s="142" t="inlineStr">
        <is>
          <t>Toàn chiến dịch</t>
        </is>
      </c>
      <c r="F52" s="141" t="inlineStr">
        <is>
          <t>Negative phrase</t>
        </is>
      </c>
      <c r="G52" s="143" t="inlineStr">
        <is>
          <t>- (negative)</t>
        </is>
      </c>
      <c r="H52" s="142" t="inlineStr">
        <is>
          <t>Toàn quốc</t>
        </is>
      </c>
      <c r="I52" s="141" t="inlineStr">
        <is>
          <t>2026-09-14</t>
        </is>
      </c>
      <c r="J52" s="141" t="inlineStr">
        <is>
          <t>Chưa áp dụng</t>
        </is>
      </c>
      <c r="K52" s="142" t="inlineStr">
        <is>
          <t>Loại trừ bài hướng dẫn cơ bản</t>
        </is>
      </c>
    </row>
    <row r="53">
      <c r="A53" s="141" t="inlineStr">
        <is>
          <t>Negative review</t>
        </is>
      </c>
      <c r="B53" s="142" t="inlineStr">
        <is>
          <t>definition</t>
        </is>
      </c>
      <c r="C53" s="141" t="inlineStr">
        <is>
          <t>EN</t>
        </is>
      </c>
      <c r="D53" s="142" t="inlineStr">
        <is>
          <t>Informational</t>
        </is>
      </c>
      <c r="E53" s="142" t="inlineStr">
        <is>
          <t>Toàn chiến dịch</t>
        </is>
      </c>
      <c r="F53" s="141" t="inlineStr">
        <is>
          <t>Negative phrase</t>
        </is>
      </c>
      <c r="G53" s="143" t="inlineStr">
        <is>
          <t>- (negative)</t>
        </is>
      </c>
      <c r="H53" s="142" t="inlineStr">
        <is>
          <t>Toàn quốc</t>
        </is>
      </c>
      <c r="I53" s="141" t="inlineStr">
        <is>
          <t>2026-09-14</t>
        </is>
      </c>
      <c r="J53" s="141" t="inlineStr">
        <is>
          <t>Chưa áp dụng</t>
        </is>
      </c>
      <c r="K53" s="142" t="inlineStr">
        <is>
          <t>Loại trừ tìm định nghĩa học thuật</t>
        </is>
      </c>
    </row>
    <row r="54">
      <c r="A54" s="141" t="inlineStr">
        <is>
          <t>Negative review</t>
        </is>
      </c>
      <c r="B54" s="142" t="inlineStr">
        <is>
          <t>wiki</t>
        </is>
      </c>
      <c r="C54" s="141" t="inlineStr">
        <is>
          <t>EN</t>
        </is>
      </c>
      <c r="D54" s="142" t="inlineStr">
        <is>
          <t>Informational</t>
        </is>
      </c>
      <c r="E54" s="142" t="inlineStr">
        <is>
          <t>Toàn chiến dịch</t>
        </is>
      </c>
      <c r="F54" s="141" t="inlineStr">
        <is>
          <t>Negative phrase</t>
        </is>
      </c>
      <c r="G54" s="143" t="inlineStr">
        <is>
          <t>- (negative)</t>
        </is>
      </c>
      <c r="H54" s="142" t="inlineStr">
        <is>
          <t>Toàn quốc</t>
        </is>
      </c>
      <c r="I54" s="141" t="inlineStr">
        <is>
          <t>2026-09-14</t>
        </is>
      </c>
      <c r="J54" s="141" t="inlineStr">
        <is>
          <t>Chưa áp dụng</t>
        </is>
      </c>
      <c r="K54" s="142" t="inlineStr">
        <is>
          <t>Loại trừ tra cứu Wikipedia</t>
        </is>
      </c>
    </row>
    <row r="55">
      <c r="A55" s="141" t="inlineStr">
        <is>
          <t>Negative review</t>
        </is>
      </c>
      <c r="B55" s="142" t="inlineStr">
        <is>
          <t>free</t>
        </is>
      </c>
      <c r="C55" s="141" t="inlineStr">
        <is>
          <t>EN</t>
        </is>
      </c>
      <c r="D55" s="142" t="inlineStr">
        <is>
          <t>Free software/download</t>
        </is>
      </c>
      <c r="E55" s="142" t="inlineStr">
        <is>
          <t>Toàn chiến dịch</t>
        </is>
      </c>
      <c r="F55" s="141" t="inlineStr">
        <is>
          <t>Negative phrase</t>
        </is>
      </c>
      <c r="G55" s="143" t="inlineStr">
        <is>
          <t>- (negative)</t>
        </is>
      </c>
      <c r="H55" s="142" t="inlineStr">
        <is>
          <t>Toàn quốc</t>
        </is>
      </c>
      <c r="I55" s="141" t="inlineStr">
        <is>
          <t>2026-09-14</t>
        </is>
      </c>
      <c r="J55" s="141" t="inlineStr">
        <is>
          <t>Chưa áp dụng</t>
        </is>
      </c>
      <c r="K55" s="142" t="inlineStr">
        <is>
          <t>Loại trừ tìm kiếm phần mềm miễn phí</t>
        </is>
      </c>
    </row>
    <row r="56">
      <c r="A56" s="141" t="inlineStr">
        <is>
          <t>Negative review</t>
        </is>
      </c>
      <c r="B56" s="142" t="inlineStr">
        <is>
          <t>crack</t>
        </is>
      </c>
      <c r="C56" s="141" t="inlineStr">
        <is>
          <t>EN</t>
        </is>
      </c>
      <c r="D56" s="142" t="inlineStr">
        <is>
          <t>Piracy</t>
        </is>
      </c>
      <c r="E56" s="142" t="inlineStr">
        <is>
          <t>Toàn chiến dịch</t>
        </is>
      </c>
      <c r="F56" s="141" t="inlineStr">
        <is>
          <t>Negative phrase</t>
        </is>
      </c>
      <c r="G56" s="143" t="inlineStr">
        <is>
          <t>- (negative)</t>
        </is>
      </c>
      <c r="H56" s="142" t="inlineStr">
        <is>
          <t>Toàn quốc</t>
        </is>
      </c>
      <c r="I56" s="141" t="inlineStr">
        <is>
          <t>2026-09-14</t>
        </is>
      </c>
      <c r="J56" s="141" t="inlineStr">
        <is>
          <t>Chưa áp dụng</t>
        </is>
      </c>
      <c r="K56" s="142" t="inlineStr">
        <is>
          <t>Loại trừ phần mềm bẻ khóa, vi phạm bản quyền</t>
        </is>
      </c>
    </row>
    <row r="57">
      <c r="A57" s="141" t="inlineStr">
        <is>
          <t>Negative review</t>
        </is>
      </c>
      <c r="B57" s="142" t="inlineStr">
        <is>
          <t>download</t>
        </is>
      </c>
      <c r="C57" s="141" t="inlineStr">
        <is>
          <t>EN</t>
        </is>
      </c>
      <c r="D57" s="142" t="inlineStr">
        <is>
          <t>Download</t>
        </is>
      </c>
      <c r="E57" s="142" t="inlineStr">
        <is>
          <t>Toàn chiến dịch</t>
        </is>
      </c>
      <c r="F57" s="141" t="inlineStr">
        <is>
          <t>Negative phrase</t>
        </is>
      </c>
      <c r="G57" s="143" t="inlineStr">
        <is>
          <t>- (negative)</t>
        </is>
      </c>
      <c r="H57" s="142" t="inlineStr">
        <is>
          <t>Toàn quốc</t>
        </is>
      </c>
      <c r="I57" s="141" t="inlineStr">
        <is>
          <t>2026-09-14</t>
        </is>
      </c>
      <c r="J57" s="141" t="inlineStr">
        <is>
          <t>Chưa áp dụng</t>
        </is>
      </c>
      <c r="K57" s="142" t="inlineStr">
        <is>
          <t>Loại trừ tải phần mềm hoặc sách lậu</t>
        </is>
      </c>
    </row>
    <row r="58">
      <c r="A58" s="141" t="inlineStr">
        <is>
          <t>Negative review</t>
        </is>
      </c>
      <c r="B58" s="142" t="inlineStr">
        <is>
          <t>phone</t>
        </is>
      </c>
      <c r="C58" s="141" t="inlineStr">
        <is>
          <t>EN</t>
        </is>
      </c>
      <c r="D58" s="142" t="inlineStr">
        <is>
          <t>Consumer electronics</t>
        </is>
      </c>
      <c r="E58" s="142" t="inlineStr">
        <is>
          <t>Toàn chiến dịch</t>
        </is>
      </c>
      <c r="F58" s="141" t="inlineStr">
        <is>
          <t>Negative phrase</t>
        </is>
      </c>
      <c r="G58" s="143" t="inlineStr">
        <is>
          <t>- (negative)</t>
        </is>
      </c>
      <c r="H58" s="142" t="inlineStr">
        <is>
          <t>Toàn quốc</t>
        </is>
      </c>
      <c r="I58" s="141" t="inlineStr">
        <is>
          <t>2026-09-14</t>
        </is>
      </c>
      <c r="J58" s="141" t="inlineStr">
        <is>
          <t>Chưa áp dụng</t>
        </is>
      </c>
      <c r="K58" s="142" t="inlineStr">
        <is>
          <t>Loại trừ thiết bị di động cá nhân</t>
        </is>
      </c>
    </row>
    <row r="59">
      <c r="A59" s="141" t="inlineStr">
        <is>
          <t>Negative review</t>
        </is>
      </c>
      <c r="B59" s="142" t="inlineStr">
        <is>
          <t>gpu</t>
        </is>
      </c>
      <c r="C59" s="141" t="inlineStr">
        <is>
          <t>EN</t>
        </is>
      </c>
      <c r="D59" s="142" t="inlineStr">
        <is>
          <t>Consumer electronics</t>
        </is>
      </c>
      <c r="E59" s="142" t="inlineStr">
        <is>
          <t>Toàn chiến dịch</t>
        </is>
      </c>
      <c r="F59" s="141" t="inlineStr">
        <is>
          <t>Negative phrase</t>
        </is>
      </c>
      <c r="G59" s="143" t="inlineStr">
        <is>
          <t>- (negative)</t>
        </is>
      </c>
      <c r="H59" s="142" t="inlineStr">
        <is>
          <t>Toàn quốc</t>
        </is>
      </c>
      <c r="I59" s="141" t="inlineStr">
        <is>
          <t>2026-09-14</t>
        </is>
      </c>
      <c r="J59" s="141" t="inlineStr">
        <is>
          <t>Chưa áp dụng</t>
        </is>
      </c>
      <c r="K59" s="142" t="inlineStr">
        <is>
          <t>Loại trừ card đồ họa chơi game / tiêu dùng</t>
        </is>
      </c>
    </row>
    <row r="60">
      <c r="A60" s="141" t="inlineStr">
        <is>
          <t>Negative review</t>
        </is>
      </c>
      <c r="B60" s="142" t="inlineStr">
        <is>
          <t>arduino</t>
        </is>
      </c>
      <c r="C60" s="141" t="inlineStr">
        <is>
          <t>EN</t>
        </is>
      </c>
      <c r="D60" s="142" t="inlineStr">
        <is>
          <t>Consumer DIY</t>
        </is>
      </c>
      <c r="E60" s="142" t="inlineStr">
        <is>
          <t>Toàn chiến dịch</t>
        </is>
      </c>
      <c r="F60" s="141" t="inlineStr">
        <is>
          <t>Negative phrase</t>
        </is>
      </c>
      <c r="G60" s="143" t="inlineStr">
        <is>
          <t>- (negative)</t>
        </is>
      </c>
      <c r="H60" s="142" t="inlineStr">
        <is>
          <t>Toàn quốc</t>
        </is>
      </c>
      <c r="I60" s="141" t="inlineStr">
        <is>
          <t>2026-09-14</t>
        </is>
      </c>
      <c r="J60" s="141" t="inlineStr">
        <is>
          <t>Chưa áp dụng</t>
        </is>
      </c>
      <c r="K60" s="142" t="inlineStr">
        <is>
          <t>Loại trừ bo mạch vi điều khiển DIY học sinh/sinh viên</t>
        </is>
      </c>
    </row>
    <row r="61">
      <c r="G61" s="112" t="n"/>
    </row>
    <row r="62">
      <c r="G62" s="112" t="n"/>
    </row>
    <row r="63">
      <c r="G63" s="112" t="n"/>
    </row>
    <row r="64">
      <c r="G64" s="112" t="n"/>
    </row>
    <row r="65">
      <c r="G65" s="112" t="n"/>
    </row>
    <row r="66">
      <c r="G66" s="112" t="n"/>
    </row>
    <row r="67">
      <c r="G67" s="112" t="n"/>
    </row>
    <row r="68">
      <c r="G68" s="112" t="n"/>
    </row>
    <row r="69">
      <c r="G69" s="112" t="n"/>
    </row>
    <row r="70">
      <c r="G70" s="112" t="n"/>
    </row>
    <row r="71">
      <c r="G71" s="112" t="n"/>
    </row>
    <row r="72">
      <c r="G72" s="112" t="n"/>
    </row>
    <row r="73">
      <c r="G73" s="112" t="n"/>
    </row>
    <row r="74">
      <c r="G74" s="112" t="n"/>
    </row>
    <row r="75">
      <c r="G75" s="112" t="n"/>
    </row>
    <row r="76">
      <c r="G76" s="112" t="n"/>
    </row>
    <row r="77">
      <c r="G77" s="112" t="n"/>
    </row>
    <row r="78">
      <c r="G78" s="112" t="n"/>
    </row>
    <row r="79">
      <c r="G79" s="112" t="n"/>
    </row>
    <row r="80">
      <c r="G80" s="112" t="n"/>
    </row>
    <row r="81">
      <c r="G81" s="112" t="n"/>
    </row>
    <row r="82">
      <c r="G82" s="112" t="n"/>
    </row>
    <row r="83">
      <c r="G83" s="112" t="n"/>
    </row>
    <row r="84">
      <c r="G84" s="112" t="n"/>
    </row>
    <row r="85">
      <c r="G85" s="112" t="n"/>
    </row>
    <row r="86">
      <c r="G86" s="112" t="n"/>
    </row>
    <row r="87">
      <c r="G87" s="112" t="n"/>
    </row>
    <row r="88">
      <c r="G88" s="112" t="n"/>
    </row>
    <row r="89">
      <c r="G89" s="112" t="n"/>
    </row>
    <row r="90">
      <c r="G90" s="112" t="n"/>
    </row>
    <row r="91">
      <c r="G91" s="112" t="n"/>
    </row>
    <row r="92">
      <c r="G92" s="112" t="n"/>
    </row>
    <row r="93">
      <c r="G93" s="112" t="n"/>
    </row>
    <row r="94">
      <c r="G94" s="112" t="n"/>
    </row>
    <row r="95">
      <c r="G95" s="112" t="n"/>
    </row>
    <row r="96">
      <c r="G96" s="112" t="n"/>
    </row>
    <row r="97">
      <c r="G97" s="112" t="n"/>
    </row>
    <row r="98">
      <c r="G98" s="112" t="n"/>
    </row>
    <row r="99">
      <c r="G99" s="112" t="n"/>
    </row>
    <row r="100">
      <c r="G100" s="112" t="n"/>
    </row>
    <row r="101">
      <c r="G101" s="112" t="n"/>
    </row>
    <row r="102">
      <c r="G102" s="112" t="n"/>
    </row>
    <row r="103">
      <c r="G103" s="112" t="n"/>
    </row>
    <row r="104">
      <c r="G104" s="112" t="n"/>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K54"/>
  <sheetViews>
    <sheetView showGridLines="0" workbookViewId="0">
      <pane ySplit="4" topLeftCell="A5" activePane="bottomLeft" state="frozen"/>
      <selection activeCell="A1" sqref="A1"/>
    </sheetView>
  </sheetViews>
  <sheetFormatPr baseColWidth="8" defaultRowHeight="15"/>
  <cols>
    <col width="23" customWidth="1" min="1" max="1"/>
    <col width="30" customWidth="1" min="2" max="2"/>
    <col width="29" customWidth="1" min="3" max="3"/>
    <col width="18" customWidth="1" min="4" max="4"/>
    <col width="36" customWidth="1" min="5" max="5"/>
    <col width="36" customWidth="1" min="6" max="6"/>
    <col width="17" customWidth="1" min="7" max="7"/>
    <col width="37" customWidth="1" min="8" max="8"/>
    <col width="28" customWidth="1" min="9" max="9"/>
    <col width="25" customWidth="1" min="10" max="10"/>
    <col width="37" customWidth="1" min="11" max="11"/>
  </cols>
  <sheetData>
    <row r="1">
      <c r="A1" s="104" t="inlineStr">
        <is>
          <t>Account và audience metadata</t>
        </is>
      </c>
    </row>
    <row r="2">
      <c r="A2" s="105" t="inlineStr">
        <is>
          <t>Chỉ schema. Không nhập danh sách Lark, contact, lead, PII hoặc audience export.</t>
        </is>
      </c>
    </row>
    <row r="3"/>
    <row r="4" ht="28" customHeight="1">
      <c r="A4" s="107" t="inlineStr">
        <is>
          <t>Mã bản ghi nội bộ</t>
        </is>
      </c>
      <c r="B4" s="107" t="inlineStr">
        <is>
          <t>Entity pháp lý</t>
        </is>
      </c>
      <c r="C4" s="107" t="inlineStr">
        <is>
          <t>FDI / nội địa / unknown</t>
        </is>
      </c>
      <c r="D4" s="107" t="inlineStr">
        <is>
          <t>Route chính</t>
        </is>
      </c>
      <c r="E4" s="107" t="inlineStr">
        <is>
          <t>Hoạt động bán dẫn có nguồn</t>
        </is>
      </c>
      <c r="F4" s="107" t="inlineStr">
        <is>
          <t>Nguồn công khai</t>
        </is>
      </c>
      <c r="G4" s="107" t="inlineStr">
        <is>
          <t>Ngày nguồn</t>
        </is>
      </c>
      <c r="H4" s="107" t="inlineStr">
        <is>
          <t>Trạng thái verified/candidate/unknown</t>
        </is>
      </c>
      <c r="I4" s="107" t="inlineStr">
        <is>
          <t>Role hypothesis</t>
        </is>
      </c>
      <c r="J4" s="107" t="inlineStr">
        <is>
          <t>Quyền dùng proof</t>
        </is>
      </c>
      <c r="K4" s="107" t="inlineStr">
        <is>
          <t>Reviewer / ghi chú</t>
        </is>
      </c>
    </row>
    <row r="5">
      <c r="A5" s="112" t="n"/>
      <c r="B5" s="112" t="n"/>
      <c r="C5" s="112" t="n"/>
      <c r="D5" s="112" t="n"/>
      <c r="E5" s="112" t="n"/>
      <c r="F5" s="112" t="n"/>
      <c r="G5" s="112" t="n"/>
      <c r="H5" s="112" t="n"/>
      <c r="I5" s="112" t="n"/>
      <c r="J5" s="112" t="n"/>
      <c r="K5" s="112" t="n"/>
    </row>
    <row r="6">
      <c r="A6" s="112" t="n"/>
      <c r="B6" s="112" t="n"/>
      <c r="C6" s="112" t="n"/>
      <c r="D6" s="112" t="n"/>
      <c r="E6" s="112" t="n"/>
      <c r="F6" s="112" t="n"/>
      <c r="G6" s="112" t="n"/>
      <c r="H6" s="112" t="n"/>
      <c r="I6" s="112" t="n"/>
      <c r="J6" s="112" t="n"/>
      <c r="K6" s="112" t="n"/>
    </row>
    <row r="7">
      <c r="A7" s="112" t="n"/>
      <c r="B7" s="112" t="n"/>
      <c r="C7" s="112" t="n"/>
      <c r="D7" s="112" t="n"/>
      <c r="E7" s="112" t="n"/>
      <c r="F7" s="112" t="n"/>
      <c r="G7" s="112" t="n"/>
      <c r="H7" s="112" t="n"/>
      <c r="I7" s="112" t="n"/>
      <c r="J7" s="112" t="n"/>
      <c r="K7" s="112" t="n"/>
    </row>
    <row r="8">
      <c r="A8" s="112" t="n"/>
      <c r="B8" s="112" t="n"/>
      <c r="C8" s="112" t="n"/>
      <c r="D8" s="112" t="n"/>
      <c r="E8" s="112" t="n"/>
      <c r="F8" s="112" t="n"/>
      <c r="G8" s="112" t="n"/>
      <c r="H8" s="112" t="n"/>
      <c r="I8" s="112" t="n"/>
      <c r="J8" s="112" t="n"/>
      <c r="K8" s="112" t="n"/>
    </row>
    <row r="9">
      <c r="A9" s="112" t="n"/>
      <c r="B9" s="112" t="n"/>
      <c r="C9" s="112" t="n"/>
      <c r="D9" s="112" t="n"/>
      <c r="E9" s="112" t="n"/>
      <c r="F9" s="112" t="n"/>
      <c r="G9" s="112" t="n"/>
      <c r="H9" s="112" t="n"/>
      <c r="I9" s="112" t="n"/>
      <c r="J9" s="112" t="n"/>
      <c r="K9" s="112" t="n"/>
    </row>
    <row r="10">
      <c r="A10" s="112" t="n"/>
      <c r="B10" s="112" t="n"/>
      <c r="C10" s="112" t="n"/>
      <c r="D10" s="112" t="n"/>
      <c r="E10" s="112" t="n"/>
      <c r="F10" s="112" t="n"/>
      <c r="G10" s="112" t="n"/>
      <c r="H10" s="112" t="n"/>
      <c r="I10" s="112" t="n"/>
      <c r="J10" s="112" t="n"/>
      <c r="K10" s="112" t="n"/>
    </row>
    <row r="11">
      <c r="A11" s="112" t="n"/>
      <c r="B11" s="112" t="n"/>
      <c r="C11" s="112" t="n"/>
      <c r="D11" s="112" t="n"/>
      <c r="E11" s="112" t="n"/>
      <c r="F11" s="112" t="n"/>
      <c r="G11" s="112" t="n"/>
      <c r="H11" s="112" t="n"/>
      <c r="I11" s="112" t="n"/>
      <c r="J11" s="112" t="n"/>
      <c r="K11" s="112" t="n"/>
    </row>
    <row r="12">
      <c r="A12" s="112" t="n"/>
      <c r="B12" s="112" t="n"/>
      <c r="C12" s="112" t="n"/>
      <c r="D12" s="112" t="n"/>
      <c r="E12" s="112" t="n"/>
      <c r="F12" s="112" t="n"/>
      <c r="G12" s="112" t="n"/>
      <c r="H12" s="112" t="n"/>
      <c r="I12" s="112" t="n"/>
      <c r="J12" s="112" t="n"/>
      <c r="K12" s="112" t="n"/>
    </row>
    <row r="13">
      <c r="A13" s="112" t="n"/>
      <c r="B13" s="112" t="n"/>
      <c r="C13" s="112" t="n"/>
      <c r="D13" s="112" t="n"/>
      <c r="E13" s="112" t="n"/>
      <c r="F13" s="112" t="n"/>
      <c r="G13" s="112" t="n"/>
      <c r="H13" s="112" t="n"/>
      <c r="I13" s="112" t="n"/>
      <c r="J13" s="112" t="n"/>
      <c r="K13" s="112" t="n"/>
    </row>
    <row r="14">
      <c r="A14" s="112" t="n"/>
      <c r="B14" s="112" t="n"/>
      <c r="C14" s="112" t="n"/>
      <c r="D14" s="112" t="n"/>
      <c r="E14" s="112" t="n"/>
      <c r="F14" s="112" t="n"/>
      <c r="G14" s="112" t="n"/>
      <c r="H14" s="112" t="n"/>
      <c r="I14" s="112" t="n"/>
      <c r="J14" s="112" t="n"/>
      <c r="K14" s="112" t="n"/>
    </row>
    <row r="15">
      <c r="A15" s="112" t="n"/>
      <c r="B15" s="112" t="n"/>
      <c r="C15" s="112" t="n"/>
      <c r="D15" s="112" t="n"/>
      <c r="E15" s="112" t="n"/>
      <c r="F15" s="112" t="n"/>
      <c r="G15" s="112" t="n"/>
      <c r="H15" s="112" t="n"/>
      <c r="I15" s="112" t="n"/>
      <c r="J15" s="112" t="n"/>
      <c r="K15" s="112" t="n"/>
    </row>
    <row r="16">
      <c r="A16" s="112" t="n"/>
      <c r="B16" s="112" t="n"/>
      <c r="C16" s="112" t="n"/>
      <c r="D16" s="112" t="n"/>
      <c r="E16" s="112" t="n"/>
      <c r="F16" s="112" t="n"/>
      <c r="G16" s="112" t="n"/>
      <c r="H16" s="112" t="n"/>
      <c r="I16" s="112" t="n"/>
      <c r="J16" s="112" t="n"/>
      <c r="K16" s="112" t="n"/>
    </row>
    <row r="17">
      <c r="A17" s="112" t="n"/>
      <c r="B17" s="112" t="n"/>
      <c r="C17" s="112" t="n"/>
      <c r="D17" s="112" t="n"/>
      <c r="E17" s="112" t="n"/>
      <c r="F17" s="112" t="n"/>
      <c r="G17" s="112" t="n"/>
      <c r="H17" s="112" t="n"/>
      <c r="I17" s="112" t="n"/>
      <c r="J17" s="112" t="n"/>
      <c r="K17" s="112" t="n"/>
    </row>
    <row r="18">
      <c r="A18" s="112" t="n"/>
      <c r="B18" s="112" t="n"/>
      <c r="C18" s="112" t="n"/>
      <c r="D18" s="112" t="n"/>
      <c r="E18" s="112" t="n"/>
      <c r="F18" s="112" t="n"/>
      <c r="G18" s="112" t="n"/>
      <c r="H18" s="112" t="n"/>
      <c r="I18" s="112" t="n"/>
      <c r="J18" s="112" t="n"/>
      <c r="K18" s="112" t="n"/>
    </row>
    <row r="19">
      <c r="A19" s="112" t="n"/>
      <c r="B19" s="112" t="n"/>
      <c r="C19" s="112" t="n"/>
      <c r="D19" s="112" t="n"/>
      <c r="E19" s="112" t="n"/>
      <c r="F19" s="112" t="n"/>
      <c r="G19" s="112" t="n"/>
      <c r="H19" s="112" t="n"/>
      <c r="I19" s="112" t="n"/>
      <c r="J19" s="112" t="n"/>
      <c r="K19" s="112" t="n"/>
    </row>
    <row r="20">
      <c r="A20" s="112" t="n"/>
      <c r="B20" s="112" t="n"/>
      <c r="C20" s="112" t="n"/>
      <c r="D20" s="112" t="n"/>
      <c r="E20" s="112" t="n"/>
      <c r="F20" s="112" t="n"/>
      <c r="G20" s="112" t="n"/>
      <c r="H20" s="112" t="n"/>
      <c r="I20" s="112" t="n"/>
      <c r="J20" s="112" t="n"/>
      <c r="K20" s="112" t="n"/>
    </row>
    <row r="21">
      <c r="A21" s="112" t="n"/>
      <c r="B21" s="112" t="n"/>
      <c r="C21" s="112" t="n"/>
      <c r="D21" s="112" t="n"/>
      <c r="E21" s="112" t="n"/>
      <c r="F21" s="112" t="n"/>
      <c r="G21" s="112" t="n"/>
      <c r="H21" s="112" t="n"/>
      <c r="I21" s="112" t="n"/>
      <c r="J21" s="112" t="n"/>
      <c r="K21" s="112" t="n"/>
    </row>
    <row r="22">
      <c r="A22" s="112" t="n"/>
      <c r="B22" s="112" t="n"/>
      <c r="C22" s="112" t="n"/>
      <c r="D22" s="112" t="n"/>
      <c r="E22" s="112" t="n"/>
      <c r="F22" s="112" t="n"/>
      <c r="G22" s="112" t="n"/>
      <c r="H22" s="112" t="n"/>
      <c r="I22" s="112" t="n"/>
      <c r="J22" s="112" t="n"/>
      <c r="K22" s="112" t="n"/>
    </row>
    <row r="23">
      <c r="A23" s="112" t="n"/>
      <c r="B23" s="112" t="n"/>
      <c r="C23" s="112" t="n"/>
      <c r="D23" s="112" t="n"/>
      <c r="E23" s="112" t="n"/>
      <c r="F23" s="112" t="n"/>
      <c r="G23" s="112" t="n"/>
      <c r="H23" s="112" t="n"/>
      <c r="I23" s="112" t="n"/>
      <c r="J23" s="112" t="n"/>
      <c r="K23" s="112" t="n"/>
    </row>
    <row r="24">
      <c r="A24" s="112" t="n"/>
      <c r="B24" s="112" t="n"/>
      <c r="C24" s="112" t="n"/>
      <c r="D24" s="112" t="n"/>
      <c r="E24" s="112" t="n"/>
      <c r="F24" s="112" t="n"/>
      <c r="G24" s="112" t="n"/>
      <c r="H24" s="112" t="n"/>
      <c r="I24" s="112" t="n"/>
      <c r="J24" s="112" t="n"/>
      <c r="K24" s="112" t="n"/>
    </row>
    <row r="25">
      <c r="A25" s="112" t="n"/>
      <c r="B25" s="112" t="n"/>
      <c r="C25" s="112" t="n"/>
      <c r="D25" s="112" t="n"/>
      <c r="E25" s="112" t="n"/>
      <c r="F25" s="112" t="n"/>
      <c r="G25" s="112" t="n"/>
      <c r="H25" s="112" t="n"/>
      <c r="I25" s="112" t="n"/>
      <c r="J25" s="112" t="n"/>
      <c r="K25" s="112" t="n"/>
    </row>
    <row r="26">
      <c r="A26" s="112" t="n"/>
      <c r="B26" s="112" t="n"/>
      <c r="C26" s="112" t="n"/>
      <c r="D26" s="112" t="n"/>
      <c r="E26" s="112" t="n"/>
      <c r="F26" s="112" t="n"/>
      <c r="G26" s="112" t="n"/>
      <c r="H26" s="112" t="n"/>
      <c r="I26" s="112" t="n"/>
      <c r="J26" s="112" t="n"/>
      <c r="K26" s="112" t="n"/>
    </row>
    <row r="27">
      <c r="A27" s="112" t="n"/>
      <c r="B27" s="112" t="n"/>
      <c r="C27" s="112" t="n"/>
      <c r="D27" s="112" t="n"/>
      <c r="E27" s="112" t="n"/>
      <c r="F27" s="112" t="n"/>
      <c r="G27" s="112" t="n"/>
      <c r="H27" s="112" t="n"/>
      <c r="I27" s="112" t="n"/>
      <c r="J27" s="112" t="n"/>
      <c r="K27" s="112" t="n"/>
    </row>
    <row r="28">
      <c r="A28" s="112" t="n"/>
      <c r="B28" s="112" t="n"/>
      <c r="C28" s="112" t="n"/>
      <c r="D28" s="112" t="n"/>
      <c r="E28" s="112" t="n"/>
      <c r="F28" s="112" t="n"/>
      <c r="G28" s="112" t="n"/>
      <c r="H28" s="112" t="n"/>
      <c r="I28" s="112" t="n"/>
      <c r="J28" s="112" t="n"/>
      <c r="K28" s="112" t="n"/>
    </row>
    <row r="29">
      <c r="A29" s="112" t="n"/>
      <c r="B29" s="112" t="n"/>
      <c r="C29" s="112" t="n"/>
      <c r="D29" s="112" t="n"/>
      <c r="E29" s="112" t="n"/>
      <c r="F29" s="112" t="n"/>
      <c r="G29" s="112" t="n"/>
      <c r="H29" s="112" t="n"/>
      <c r="I29" s="112" t="n"/>
      <c r="J29" s="112" t="n"/>
      <c r="K29" s="112" t="n"/>
    </row>
    <row r="30">
      <c r="A30" s="112" t="n"/>
      <c r="B30" s="112" t="n"/>
      <c r="C30" s="112" t="n"/>
      <c r="D30" s="112" t="n"/>
      <c r="E30" s="112" t="n"/>
      <c r="F30" s="112" t="n"/>
      <c r="G30" s="112" t="n"/>
      <c r="H30" s="112" t="n"/>
      <c r="I30" s="112" t="n"/>
      <c r="J30" s="112" t="n"/>
      <c r="K30" s="112" t="n"/>
    </row>
    <row r="31">
      <c r="A31" s="112" t="n"/>
      <c r="B31" s="112" t="n"/>
      <c r="C31" s="112" t="n"/>
      <c r="D31" s="112" t="n"/>
      <c r="E31" s="112" t="n"/>
      <c r="F31" s="112" t="n"/>
      <c r="G31" s="112" t="n"/>
      <c r="H31" s="112" t="n"/>
      <c r="I31" s="112" t="n"/>
      <c r="J31" s="112" t="n"/>
      <c r="K31" s="112" t="n"/>
    </row>
    <row r="32">
      <c r="A32" s="112" t="n"/>
      <c r="B32" s="112" t="n"/>
      <c r="C32" s="112" t="n"/>
      <c r="D32" s="112" t="n"/>
      <c r="E32" s="112" t="n"/>
      <c r="F32" s="112" t="n"/>
      <c r="G32" s="112" t="n"/>
      <c r="H32" s="112" t="n"/>
      <c r="I32" s="112" t="n"/>
      <c r="J32" s="112" t="n"/>
      <c r="K32" s="112" t="n"/>
    </row>
    <row r="33">
      <c r="A33" s="112" t="n"/>
      <c r="B33" s="112" t="n"/>
      <c r="C33" s="112" t="n"/>
      <c r="D33" s="112" t="n"/>
      <c r="E33" s="112" t="n"/>
      <c r="F33" s="112" t="n"/>
      <c r="G33" s="112" t="n"/>
      <c r="H33" s="112" t="n"/>
      <c r="I33" s="112" t="n"/>
      <c r="J33" s="112" t="n"/>
      <c r="K33" s="112" t="n"/>
    </row>
    <row r="34">
      <c r="A34" s="112" t="n"/>
      <c r="B34" s="112" t="n"/>
      <c r="C34" s="112" t="n"/>
      <c r="D34" s="112" t="n"/>
      <c r="E34" s="112" t="n"/>
      <c r="F34" s="112" t="n"/>
      <c r="G34" s="112" t="n"/>
      <c r="H34" s="112" t="n"/>
      <c r="I34" s="112" t="n"/>
      <c r="J34" s="112" t="n"/>
      <c r="K34" s="112" t="n"/>
    </row>
    <row r="35">
      <c r="A35" s="112" t="n"/>
      <c r="B35" s="112" t="n"/>
      <c r="C35" s="112" t="n"/>
      <c r="D35" s="112" t="n"/>
      <c r="E35" s="112" t="n"/>
      <c r="F35" s="112" t="n"/>
      <c r="G35" s="112" t="n"/>
      <c r="H35" s="112" t="n"/>
      <c r="I35" s="112" t="n"/>
      <c r="J35" s="112" t="n"/>
      <c r="K35" s="112" t="n"/>
    </row>
    <row r="36">
      <c r="A36" s="112" t="n"/>
      <c r="B36" s="112" t="n"/>
      <c r="C36" s="112" t="n"/>
      <c r="D36" s="112" t="n"/>
      <c r="E36" s="112" t="n"/>
      <c r="F36" s="112" t="n"/>
      <c r="G36" s="112" t="n"/>
      <c r="H36" s="112" t="n"/>
      <c r="I36" s="112" t="n"/>
      <c r="J36" s="112" t="n"/>
      <c r="K36" s="112" t="n"/>
    </row>
    <row r="37">
      <c r="A37" s="112" t="n"/>
      <c r="B37" s="112" t="n"/>
      <c r="C37" s="112" t="n"/>
      <c r="D37" s="112" t="n"/>
      <c r="E37" s="112" t="n"/>
      <c r="F37" s="112" t="n"/>
      <c r="G37" s="112" t="n"/>
      <c r="H37" s="112" t="n"/>
      <c r="I37" s="112" t="n"/>
      <c r="J37" s="112" t="n"/>
      <c r="K37" s="112" t="n"/>
    </row>
    <row r="38">
      <c r="A38" s="112" t="n"/>
      <c r="B38" s="112" t="n"/>
      <c r="C38" s="112" t="n"/>
      <c r="D38" s="112" t="n"/>
      <c r="E38" s="112" t="n"/>
      <c r="F38" s="112" t="n"/>
      <c r="G38" s="112" t="n"/>
      <c r="H38" s="112" t="n"/>
      <c r="I38" s="112" t="n"/>
      <c r="J38" s="112" t="n"/>
      <c r="K38" s="112" t="n"/>
    </row>
    <row r="39">
      <c r="A39" s="112" t="n"/>
      <c r="B39" s="112" t="n"/>
      <c r="C39" s="112" t="n"/>
      <c r="D39" s="112" t="n"/>
      <c r="E39" s="112" t="n"/>
      <c r="F39" s="112" t="n"/>
      <c r="G39" s="112" t="n"/>
      <c r="H39" s="112" t="n"/>
      <c r="I39" s="112" t="n"/>
      <c r="J39" s="112" t="n"/>
      <c r="K39" s="112" t="n"/>
    </row>
    <row r="40">
      <c r="A40" s="112" t="n"/>
      <c r="B40" s="112" t="n"/>
      <c r="C40" s="112" t="n"/>
      <c r="D40" s="112" t="n"/>
      <c r="E40" s="112" t="n"/>
      <c r="F40" s="112" t="n"/>
      <c r="G40" s="112" t="n"/>
      <c r="H40" s="112" t="n"/>
      <c r="I40" s="112" t="n"/>
      <c r="J40" s="112" t="n"/>
      <c r="K40" s="112" t="n"/>
    </row>
    <row r="41">
      <c r="A41" s="112" t="n"/>
      <c r="B41" s="112" t="n"/>
      <c r="C41" s="112" t="n"/>
      <c r="D41" s="112" t="n"/>
      <c r="E41" s="112" t="n"/>
      <c r="F41" s="112" t="n"/>
      <c r="G41" s="112" t="n"/>
      <c r="H41" s="112" t="n"/>
      <c r="I41" s="112" t="n"/>
      <c r="J41" s="112" t="n"/>
      <c r="K41" s="112" t="n"/>
    </row>
    <row r="42">
      <c r="A42" s="112" t="n"/>
      <c r="B42" s="112" t="n"/>
      <c r="C42" s="112" t="n"/>
      <c r="D42" s="112" t="n"/>
      <c r="E42" s="112" t="n"/>
      <c r="F42" s="112" t="n"/>
      <c r="G42" s="112" t="n"/>
      <c r="H42" s="112" t="n"/>
      <c r="I42" s="112" t="n"/>
      <c r="J42" s="112" t="n"/>
      <c r="K42" s="112" t="n"/>
    </row>
    <row r="43">
      <c r="A43" s="112" t="n"/>
      <c r="B43" s="112" t="n"/>
      <c r="C43" s="112" t="n"/>
      <c r="D43" s="112" t="n"/>
      <c r="E43" s="112" t="n"/>
      <c r="F43" s="112" t="n"/>
      <c r="G43" s="112" t="n"/>
      <c r="H43" s="112" t="n"/>
      <c r="I43" s="112" t="n"/>
      <c r="J43" s="112" t="n"/>
      <c r="K43" s="112" t="n"/>
    </row>
    <row r="44">
      <c r="A44" s="112" t="n"/>
      <c r="B44" s="112" t="n"/>
      <c r="C44" s="112" t="n"/>
      <c r="D44" s="112" t="n"/>
      <c r="E44" s="112" t="n"/>
      <c r="F44" s="112" t="n"/>
      <c r="G44" s="112" t="n"/>
      <c r="H44" s="112" t="n"/>
      <c r="I44" s="112" t="n"/>
      <c r="J44" s="112" t="n"/>
      <c r="K44" s="112" t="n"/>
    </row>
    <row r="45">
      <c r="A45" s="112" t="n"/>
      <c r="B45" s="112" t="n"/>
      <c r="C45" s="112" t="n"/>
      <c r="D45" s="112" t="n"/>
      <c r="E45" s="112" t="n"/>
      <c r="F45" s="112" t="n"/>
      <c r="G45" s="112" t="n"/>
      <c r="H45" s="112" t="n"/>
      <c r="I45" s="112" t="n"/>
      <c r="J45" s="112" t="n"/>
      <c r="K45" s="112" t="n"/>
    </row>
    <row r="46">
      <c r="A46" s="112" t="n"/>
      <c r="B46" s="112" t="n"/>
      <c r="C46" s="112" t="n"/>
      <c r="D46" s="112" t="n"/>
      <c r="E46" s="112" t="n"/>
      <c r="F46" s="112" t="n"/>
      <c r="G46" s="112" t="n"/>
      <c r="H46" s="112" t="n"/>
      <c r="I46" s="112" t="n"/>
      <c r="J46" s="112" t="n"/>
      <c r="K46" s="112" t="n"/>
    </row>
    <row r="47">
      <c r="A47" s="112" t="n"/>
      <c r="B47" s="112" t="n"/>
      <c r="C47" s="112" t="n"/>
      <c r="D47" s="112" t="n"/>
      <c r="E47" s="112" t="n"/>
      <c r="F47" s="112" t="n"/>
      <c r="G47" s="112" t="n"/>
      <c r="H47" s="112" t="n"/>
      <c r="I47" s="112" t="n"/>
      <c r="J47" s="112" t="n"/>
      <c r="K47" s="112" t="n"/>
    </row>
    <row r="48">
      <c r="A48" s="112" t="n"/>
      <c r="B48" s="112" t="n"/>
      <c r="C48" s="112" t="n"/>
      <c r="D48" s="112" t="n"/>
      <c r="E48" s="112" t="n"/>
      <c r="F48" s="112" t="n"/>
      <c r="G48" s="112" t="n"/>
      <c r="H48" s="112" t="n"/>
      <c r="I48" s="112" t="n"/>
      <c r="J48" s="112" t="n"/>
      <c r="K48" s="112" t="n"/>
    </row>
    <row r="49">
      <c r="A49" s="112" t="n"/>
      <c r="B49" s="112" t="n"/>
      <c r="C49" s="112" t="n"/>
      <c r="D49" s="112" t="n"/>
      <c r="E49" s="112" t="n"/>
      <c r="F49" s="112" t="n"/>
      <c r="G49" s="112" t="n"/>
      <c r="H49" s="112" t="n"/>
      <c r="I49" s="112" t="n"/>
      <c r="J49" s="112" t="n"/>
      <c r="K49" s="112" t="n"/>
    </row>
    <row r="50">
      <c r="A50" s="112" t="n"/>
      <c r="B50" s="112" t="n"/>
      <c r="C50" s="112" t="n"/>
      <c r="D50" s="112" t="n"/>
      <c r="E50" s="112" t="n"/>
      <c r="F50" s="112" t="n"/>
      <c r="G50" s="112" t="n"/>
      <c r="H50" s="112" t="n"/>
      <c r="I50" s="112" t="n"/>
      <c r="J50" s="112" t="n"/>
      <c r="K50" s="112" t="n"/>
    </row>
    <row r="51">
      <c r="A51" s="112" t="n"/>
      <c r="B51" s="112" t="n"/>
      <c r="C51" s="112" t="n"/>
      <c r="D51" s="112" t="n"/>
      <c r="E51" s="112" t="n"/>
      <c r="F51" s="112" t="n"/>
      <c r="G51" s="112" t="n"/>
      <c r="H51" s="112" t="n"/>
      <c r="I51" s="112" t="n"/>
      <c r="J51" s="112" t="n"/>
      <c r="K51" s="112" t="n"/>
    </row>
    <row r="52">
      <c r="A52" s="112" t="n"/>
      <c r="B52" s="112" t="n"/>
      <c r="C52" s="112" t="n"/>
      <c r="D52" s="112" t="n"/>
      <c r="E52" s="112" t="n"/>
      <c r="F52" s="112" t="n"/>
      <c r="G52" s="112" t="n"/>
      <c r="H52" s="112" t="n"/>
      <c r="I52" s="112" t="n"/>
      <c r="J52" s="112" t="n"/>
      <c r="K52" s="112" t="n"/>
    </row>
    <row r="53">
      <c r="A53" s="112" t="n"/>
      <c r="B53" s="112" t="n"/>
      <c r="C53" s="112" t="n"/>
      <c r="D53" s="112" t="n"/>
      <c r="E53" s="112" t="n"/>
      <c r="F53" s="112" t="n"/>
      <c r="G53" s="112" t="n"/>
      <c r="H53" s="112" t="n"/>
      <c r="I53" s="112" t="n"/>
      <c r="J53" s="112" t="n"/>
      <c r="K53" s="112" t="n"/>
    </row>
    <row r="54">
      <c r="A54" s="112" t="n"/>
      <c r="B54" s="112" t="n"/>
      <c r="C54" s="112" t="n"/>
      <c r="D54" s="112" t="n"/>
      <c r="E54" s="112" t="n"/>
      <c r="F54" s="112" t="n"/>
      <c r="G54" s="112" t="n"/>
      <c r="H54" s="112" t="n"/>
      <c r="I54" s="112" t="n"/>
      <c r="J54" s="112" t="n"/>
      <c r="K54" s="112" t="n"/>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H29"/>
  <sheetViews>
    <sheetView showGridLines="0" workbookViewId="0">
      <pane ySplit="4" topLeftCell="A5" activePane="bottomLeft" state="frozen"/>
      <selection activeCell="A1" sqref="A1"/>
    </sheetView>
  </sheetViews>
  <sheetFormatPr baseColWidth="8" defaultRowHeight="15"/>
  <cols>
    <col width="29" customWidth="1" min="1" max="1"/>
    <col width="43" customWidth="1" min="2" max="2"/>
    <col width="37" customWidth="1" min="3" max="3"/>
    <col width="32" customWidth="1" min="4" max="4"/>
    <col width="36" customWidth="1" min="5" max="5"/>
    <col width="17" customWidth="1" min="6" max="6"/>
    <col width="43" customWidth="1" min="7" max="7"/>
    <col width="42" customWidth="1" min="8" max="8"/>
  </cols>
  <sheetData>
    <row r="1">
      <c r="A1" s="104" t="inlineStr">
        <is>
          <t>Định nghĩa KPI</t>
        </is>
      </c>
    </row>
    <row r="2">
      <c r="A2" s="105" t="inlineStr">
        <is>
          <t>Đề xuất từ S04; baseline và ngưỡng quyết định chờ dữ liệu giao thật.</t>
        </is>
      </c>
    </row>
    <row r="3"/>
    <row r="4" ht="28" customHeight="1">
      <c r="A4" s="107" t="inlineStr">
        <is>
          <t>KPI</t>
        </is>
      </c>
      <c r="B4" s="107" t="inlineStr">
        <is>
          <t>Tử số / giá trị</t>
        </is>
      </c>
      <c r="C4" s="107" t="inlineStr">
        <is>
          <t>Mẫu số</t>
        </is>
      </c>
      <c r="D4" s="107" t="inlineStr">
        <is>
          <t>Nguồn</t>
        </is>
      </c>
      <c r="E4" s="107" t="inlineStr">
        <is>
          <t>Phạm vi và kỳ</t>
        </is>
      </c>
      <c r="F4" s="107" t="inlineStr">
        <is>
          <t>Baseline</t>
        </is>
      </c>
      <c r="G4" s="107" t="inlineStr">
        <is>
          <t>Quy tắc khi thiếu dữ liệu</t>
        </is>
      </c>
      <c r="H4" s="107" t="inlineStr">
        <is>
          <t>Trạng thái / dùng để quyết định</t>
        </is>
      </c>
    </row>
    <row r="5">
      <c r="A5" s="114" t="inlineStr">
        <is>
          <t>CTR</t>
        </is>
      </c>
      <c r="B5" s="114" t="inlineStr">
        <is>
          <t>Clicks</t>
        </is>
      </c>
      <c r="C5" s="114" t="inlineStr">
        <is>
          <t>Impressions</t>
        </is>
      </c>
      <c r="D5" s="114" t="inlineStr">
        <is>
          <t>Native platform</t>
        </is>
      </c>
      <c r="E5" s="114" t="inlineStr">
        <is>
          <t>Cùng campaign và kỳ</t>
        </is>
      </c>
      <c r="F5" s="114" t="inlineStr">
        <is>
          <t>Unknown</t>
        </is>
      </c>
      <c r="G5" s="114" t="inlineStr">
        <is>
          <t>Impressions = 0: không tính</t>
        </is>
      </c>
      <c r="H5" s="114" t="inlineStr">
        <is>
          <t>Chẩn đoán; không phải brand lift</t>
        </is>
      </c>
    </row>
    <row r="6">
      <c r="A6" s="114" t="inlineStr">
        <is>
          <t>Paid engagement rate</t>
        </is>
      </c>
      <c r="B6" s="114" t="inlineStr">
        <is>
          <t>Engaged paid sessions</t>
        </is>
      </c>
      <c r="C6" s="114" t="inlineStr">
        <is>
          <t>Paid sessions</t>
        </is>
      </c>
      <c r="D6" s="114" t="inlineStr">
        <is>
          <t>Verified GA4</t>
        </is>
      </c>
      <c r="E6" s="114" t="inlineStr">
        <is>
          <t>Cùng route, locale, source, kỳ</t>
        </is>
      </c>
      <c r="F6" s="114" t="inlineStr">
        <is>
          <t>Unknown</t>
        </is>
      </c>
      <c r="G6" s="114" t="inlineStr">
        <is>
          <t>Sessions = 0: không tính</t>
        </is>
      </c>
      <c r="H6" s="114" t="inlineStr">
        <is>
          <t>Proxy attention</t>
        </is>
      </c>
    </row>
    <row r="7">
      <c r="A7" s="114" t="inlineStr">
        <is>
          <t>Visible query relevance</t>
        </is>
      </c>
      <c r="B7" s="114" t="inlineStr">
        <is>
          <t>Clicks visible terms liên quan</t>
        </is>
      </c>
      <c r="C7" s="114" t="inlineStr">
        <is>
          <t>Clicks visible terms đã phân loại</t>
        </is>
      </c>
      <c r="D7" s="114" t="inlineStr">
        <is>
          <t>Google search terms</t>
        </is>
      </c>
      <c r="E7" s="114" t="inlineStr">
        <is>
          <t>Cùng tập query và rubric</t>
        </is>
      </c>
      <c r="F7" s="114" t="inlineStr">
        <is>
          <t>Unknown</t>
        </is>
      </c>
      <c r="G7" s="114" t="inlineStr">
        <is>
          <t>Thiếu clicks: insufficient evidence</t>
        </is>
      </c>
      <c r="H7" s="114" t="inlineStr">
        <is>
          <t>Đề xuất tối thiểu 20 clicks đã phân loại</t>
        </is>
      </c>
    </row>
    <row r="8">
      <c r="A8" s="114" t="inlineStr">
        <is>
          <t>Visible term coverage</t>
        </is>
      </c>
      <c r="B8" s="114" t="inlineStr">
        <is>
          <t>Clicks terms hiển thị</t>
        </is>
      </c>
      <c r="C8" s="114" t="inlineStr">
        <is>
          <t>Tổng Search clicks</t>
        </is>
      </c>
      <c r="D8" s="114" t="inlineStr">
        <is>
          <t>Google Ads</t>
        </is>
      </c>
      <c r="E8" s="114" t="inlineStr">
        <is>
          <t>Cùng campaign và kỳ</t>
        </is>
      </c>
      <c r="F8" s="114" t="inlineStr">
        <is>
          <t>Unknown</t>
        </is>
      </c>
      <c r="G8" s="114" t="inlineStr">
        <is>
          <t>Không có total clicks: không tính</t>
        </is>
      </c>
      <c r="H8" s="114" t="inlineStr">
        <is>
          <t>Báo kèm query relevance</t>
        </is>
      </c>
    </row>
    <row r="9">
      <c r="A9" s="114" t="inlineStr">
        <is>
          <t>Cost per engaged session</t>
        </is>
      </c>
      <c r="B9" s="114" t="inlineStr">
        <is>
          <t>Chi quảng cáo cùng paid slice</t>
        </is>
      </c>
      <c r="C9" s="114" t="inlineStr">
        <is>
          <t>Engaged paid sessions cùng slice</t>
        </is>
      </c>
      <c r="D9" s="114" t="inlineStr">
        <is>
          <t>Platform + GA4 đối soát</t>
        </is>
      </c>
      <c r="E9" s="114" t="inlineStr">
        <is>
          <t>Cùng route/source/locale/kỳ</t>
        </is>
      </c>
      <c r="F9" s="114" t="inlineStr">
        <is>
          <t>Unknown</t>
        </is>
      </c>
      <c r="G9" s="114" t="inlineStr">
        <is>
          <t>Engaged sessions = 0: không tính</t>
        </is>
      </c>
      <c r="H9" s="114" t="inlineStr">
        <is>
          <t>So khi attribution tương thích</t>
        </is>
      </c>
    </row>
    <row r="10">
      <c r="A10" s="114" t="inlineStr">
        <is>
          <t>LinkedIn frequency</t>
        </is>
      </c>
      <c r="B10" s="114" t="inlineStr">
        <is>
          <t>Impressions</t>
        </is>
      </c>
      <c r="C10" s="114" t="inlineStr">
        <is>
          <t>Native unique reach</t>
        </is>
      </c>
      <c r="D10" s="114" t="inlineStr">
        <is>
          <t>Campaign Manager</t>
        </is>
      </c>
      <c r="E10" s="114" t="inlineStr">
        <is>
          <t>Cùng campaign và kỳ</t>
        </is>
      </c>
      <c r="F10" s="114" t="inlineStr">
        <is>
          <t>Unknown</t>
        </is>
      </c>
      <c r="G10" s="114" t="inlineStr">
        <is>
          <t>Reach = 0/ẩn: không tính</t>
        </is>
      </c>
      <c r="H10" s="114" t="inlineStr">
        <is>
          <t>Không cộng reach xuyên nền tảng</t>
        </is>
      </c>
    </row>
    <row r="11">
      <c r="A11" s="114" t="inlineStr">
        <is>
          <t>Budget remaining</t>
        </is>
      </c>
      <c r="B11" s="114" t="inlineStr">
        <is>
          <t>Trần kỳ đã duyệt trừ thực chi</t>
        </is>
      </c>
      <c r="C11" s="114" t="inlineStr">
        <is>
          <t>Không có</t>
        </is>
      </c>
      <c r="D11" s="114" t="inlineStr">
        <is>
          <t>Phê duyệt + platform bill</t>
        </is>
      </c>
      <c r="E11" s="114" t="inlineStr">
        <is>
          <t>Ngày hợp lệ; thuế/phí cần chốt</t>
        </is>
      </c>
      <c r="F11" s="114" t="inlineStr">
        <is>
          <t>Unknown</t>
        </is>
      </c>
      <c r="G11" s="114" t="inlineStr">
        <is>
          <t>Chưa duyệt trần: không tính</t>
        </is>
      </c>
      <c r="H11" s="114" t="inlineStr">
        <is>
          <t>Draft 1m/ngày không là quyền chi</t>
        </is>
      </c>
    </row>
    <row r="12">
      <c r="A12" s="114" t="inlineStr">
        <is>
          <t>Reach</t>
        </is>
      </c>
      <c r="B12" s="114" t="inlineStr">
        <is>
          <t>Native unique reach</t>
        </is>
      </c>
      <c r="C12" s="114" t="inlineStr">
        <is>
          <t>Không có</t>
        </is>
      </c>
      <c r="D12" s="114" t="inlineStr">
        <is>
          <t>Native platform</t>
        </is>
      </c>
      <c r="E12" s="114" t="inlineStr">
        <is>
          <t>Cùng campaign và kỳ</t>
        </is>
      </c>
      <c r="F12" s="114" t="inlineStr">
        <is>
          <t>Unknown</t>
        </is>
      </c>
      <c r="G12" s="114" t="inlineStr">
        <is>
          <t>Ẩn/thiếu: unknown</t>
        </is>
      </c>
      <c r="H12" s="114" t="inlineStr">
        <is>
          <t>Không cộng unique reach xuyên nền tảng</t>
        </is>
      </c>
    </row>
    <row r="13">
      <c r="A13" s="114" t="inlineStr">
        <is>
          <t>CPM</t>
        </is>
      </c>
      <c r="B13" s="114" t="inlineStr">
        <is>
          <t>Chi quảng cáo × 1000</t>
        </is>
      </c>
      <c r="C13" s="114" t="inlineStr">
        <is>
          <t>Impressions</t>
        </is>
      </c>
      <c r="D13" s="114" t="inlineStr">
        <is>
          <t>Platform report</t>
        </is>
      </c>
      <c r="E13" s="114" t="inlineStr">
        <is>
          <t>Cùng kênh/campaign/ngày</t>
        </is>
      </c>
      <c r="F13" s="114" t="inlineStr">
        <is>
          <t>Unknown</t>
        </is>
      </c>
      <c r="G13" s="114" t="inlineStr">
        <is>
          <t>Impressions = 0: không tính</t>
        </is>
      </c>
      <c r="H13" s="114" t="inlineStr">
        <is>
          <t>Chi cần khớp nhật ký nguồn</t>
        </is>
      </c>
    </row>
    <row r="14">
      <c r="A14" s="114" t="inlineStr">
        <is>
          <t>CPC</t>
        </is>
      </c>
      <c r="B14" s="114" t="inlineStr">
        <is>
          <t>Chi quảng cáo</t>
        </is>
      </c>
      <c r="C14" s="114" t="inlineStr">
        <is>
          <t>Clicks</t>
        </is>
      </c>
      <c r="D14" s="114" t="inlineStr">
        <is>
          <t>Platform report</t>
        </is>
      </c>
      <c r="E14" s="114" t="inlineStr">
        <is>
          <t>Cùng kênh/campaign/ngày</t>
        </is>
      </c>
      <c r="F14" s="114" t="inlineStr">
        <is>
          <t>Unknown</t>
        </is>
      </c>
      <c r="G14" s="114" t="inlineStr">
        <is>
          <t>Clicks = 0: không tính</t>
        </is>
      </c>
      <c r="H14" s="114" t="inlineStr">
        <is>
          <t>Chi cần khớp nhật ký nguồn</t>
        </is>
      </c>
    </row>
    <row r="15">
      <c r="A15" s="114" t="inlineStr">
        <is>
          <t>Raw leads</t>
        </is>
      </c>
      <c r="B15" s="114" t="inlineStr">
        <is>
          <t>Số bản ghi raw chưa loại test/trùng</t>
        </is>
      </c>
      <c r="C15" s="114" t="inlineStr">
        <is>
          <t>Không có</t>
        </is>
      </c>
      <c r="D15" s="114" t="inlineStr">
        <is>
          <t>Receiver được xác minh</t>
        </is>
      </c>
      <c r="E15" s="114" t="inlineStr">
        <is>
          <t>Cùng source/route/kỳ</t>
        </is>
      </c>
      <c r="F15" s="114" t="inlineStr">
        <is>
          <t>Unknown</t>
        </is>
      </c>
      <c r="G15" s="114" t="inlineStr">
        <is>
          <t>Nguồn chưa xác minh: unknown</t>
        </is>
      </c>
      <c r="H15" s="114" t="inlineStr">
        <is>
          <t>Tách khỏi accepted/verified leads</t>
        </is>
      </c>
    </row>
    <row r="16">
      <c r="A16" s="114" t="inlineStr">
        <is>
          <t>Verified leads</t>
        </is>
      </c>
      <c r="B16" s="114" t="inlineStr">
        <is>
          <t>Bản ghi được receiver/owner xác nhận hợp lệ</t>
        </is>
      </c>
      <c r="C16" s="114" t="inlineStr">
        <is>
          <t>Không có</t>
        </is>
      </c>
      <c r="D16" s="114" t="inlineStr">
        <is>
          <t>Receiver + owner</t>
        </is>
      </c>
      <c r="E16" s="114" t="inlineStr">
        <is>
          <t>Cùng source/route/kỳ</t>
        </is>
      </c>
      <c r="F16" s="114" t="inlineStr">
        <is>
          <t>Unknown</t>
        </is>
      </c>
      <c r="G16" s="114" t="inlineStr">
        <is>
          <t>Thiếu xác nhận: unknown</t>
        </is>
      </c>
      <c r="H16" s="114" t="inlineStr">
        <is>
          <t>Không suy từ CTA hoặc form click</t>
        </is>
      </c>
    </row>
    <row r="17">
      <c r="A17" s="114" t="inlineStr">
        <is>
          <t>Effective lead rate</t>
        </is>
      </c>
      <c r="B17" s="114" t="inlineStr">
        <is>
          <t>Verified leads</t>
        </is>
      </c>
      <c r="C17" s="114" t="inlineStr">
        <is>
          <t>Raw leads</t>
        </is>
      </c>
      <c r="D17" s="114" t="inlineStr">
        <is>
          <t>Receiver + owner</t>
        </is>
      </c>
      <c r="E17" s="114" t="inlineStr">
        <is>
          <t>Cùng source/route/kỳ</t>
        </is>
      </c>
      <c r="F17" s="114" t="inlineStr">
        <is>
          <t>Unknown</t>
        </is>
      </c>
      <c r="G17" s="114" t="inlineStr">
        <is>
          <t>Raw leads = 0: không tính</t>
        </is>
      </c>
      <c r="H17" s="114" t="inlineStr">
        <is>
          <t>Tách raw/verified; loại test/trùng theo quy tắc</t>
        </is>
      </c>
    </row>
    <row r="18">
      <c r="A18" s="114" t="inlineStr">
        <is>
          <t>Daily spend reconciliation</t>
        </is>
      </c>
      <c r="B18" s="114" t="inlineStr">
        <is>
          <t>Chi phân tích G khớp nhật ký 03_Chi_tieu</t>
        </is>
      </c>
      <c r="C18" s="114" t="inlineStr">
        <is>
          <t>Không có</t>
        </is>
      </c>
      <c r="D18" s="114" t="inlineStr">
        <is>
          <t>03_Chi_tieu + platform</t>
        </is>
      </c>
      <c r="E18" s="114" t="inlineStr">
        <is>
          <t>Cùng ngày và kênh</t>
        </is>
      </c>
      <c r="F18" s="114" t="inlineStr">
        <is>
          <t>Unknown</t>
        </is>
      </c>
      <c r="G18" s="114" t="inlineStr">
        <is>
          <t>Nguồn/kênh thiếu: không báo cáo</t>
        </is>
      </c>
      <c r="H18" s="114" t="inlineStr">
        <is>
          <t>Chỉ báo cáo metric chi khi AB = Khớp</t>
        </is>
      </c>
    </row>
    <row r="19"/>
    <row r="20"/>
    <row r="21">
      <c r="A21" t="inlineStr">
        <is>
          <t>QUYẾT ĐỊNH KHUNG THỜI GIAN VÀ TRẦN ĐỊNH HƯỚNG</t>
        </is>
      </c>
    </row>
    <row r="22">
      <c r="A22" t="inlineStr">
        <is>
          <t>Phạm vi</t>
        </is>
      </c>
      <c r="B22" t="inlineStr">
        <is>
          <t>Qua hết hai chu kỳ Scale1 / cấp 1</t>
        </is>
      </c>
    </row>
    <row r="23">
      <c r="A23" t="inlineStr">
        <is>
          <t>Cửa sổ lịch</t>
        </is>
      </c>
      <c r="B23" t="inlineStr">
        <is>
          <t>8 tuần lịch = 56 ngày lịch</t>
        </is>
      </c>
    </row>
    <row r="24">
      <c r="A24" t="inlineStr">
        <is>
          <t>Ngày paid tối đa</t>
        </is>
      </c>
      <c r="B24" t="inlineStr">
        <is>
          <t>Tối đa 35 ngày paid/hợp lệ trong cửa sổ 56 ngày; không mặc định liên tiếp</t>
        </is>
      </c>
    </row>
    <row r="25">
      <c r="A25" t="inlineStr">
        <is>
          <t>Mốc chi lịch sử</t>
        </is>
      </c>
      <c r="B25" t="inlineStr">
        <is>
          <t>1.000.000 VNĐ / ngày paid; theo 01_Thiet_lap!D7</t>
        </is>
      </c>
    </row>
    <row r="26">
      <c r="A26" t="inlineStr">
        <is>
          <t>Trần định hướng</t>
        </is>
      </c>
      <c r="B26" t="inlineStr">
        <is>
          <t>35.000.000 VNĐ qua Scale1 = tối đa 35 ngày paid × mốc 1m/ngày</t>
        </is>
      </c>
    </row>
    <row r="27">
      <c r="A27" t="inlineStr">
        <is>
          <t>Phê duyệt chi</t>
        </is>
      </c>
      <c r="B27" t="inlineStr">
        <is>
          <t>Trần định hướng không phải lệnh chi hoặc xác nhận ngân sách đã duyệt; gate giai đoạn vẫn áp dụng</t>
        </is>
      </c>
    </row>
    <row r="28">
      <c r="A28" t="inlineStr">
        <is>
          <t>Chưa chốt</t>
        </is>
      </c>
      <c r="B28" t="inlineStr">
        <is>
          <t>Lịch ngày paid, ngày bắt đầu/kết thúc, thuế và phí; không suy diễn lịch chạy từ 35 ngày</t>
        </is>
      </c>
    </row>
    <row r="29">
      <c r="A29" t="inlineStr">
        <is>
          <t>Đối soát</t>
        </is>
      </c>
      <c r="B29" t="inlineStr">
        <is>
          <t>02_Lo_trinh G1 + G2 + G3.1 + G3.2 = 7 + 14 + 7 + 7 ngày tham chiếu; 03_Chi_tieu ghi thực chi theo ngày thực</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2026-09-30T04:04:13Z</dcterms:created>
  <dcterms:modified xsi:type="dcterms:W3CDTF">2026-09-30T04:04:14Z</dcterms:modified>
</cp:coreProperties>
</file>