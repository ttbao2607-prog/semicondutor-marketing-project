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b95c5ef81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61b8d9c6cc5a4a43"/>
    <x:sheet xmlns:r="http://schemas.openxmlformats.org/officeDocument/2006/relationships" name="Asset inventory" sheetId="2" r:id="R1b2192aa96d3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 &quot;VND/ngày&quot;"/>
  </x:numFmts>
  <x:fonts count="10">
    <x:font>
      <x:sz val="11"/>
      <x:name val="Carlito"/>
    </x:font>
    <x:font>
      <x:b/>
      <x:sz val="16"/>
      <x:color rgb="FF17324D"/>
      <x:name val="Arial"/>
    </x:font>
    <x:font>
      <x:sz val="10"/>
      <x:color rgb="FF263746"/>
      <x:name val="Arial"/>
    </x:font>
    <x:font>
      <x:b/>
      <x:sz val="10"/>
      <x:color rgb="FF5D6B78"/>
      <x:name val="Arial"/>
    </x:font>
    <x:font>
      <x:b/>
      <x:sz val="11"/>
      <x:color rgb="FF8A5A00"/>
      <x:name val="Arial"/>
    </x:font>
    <x:font>
      <x:sz val="10"/>
      <x:color rgb="FF8A5A00"/>
      <x:name val="Arial"/>
    </x:font>
    <x:font>
      <x:b/>
      <x:sz val="10"/>
      <x:color rgb="FFFFFFFF"/>
      <x:name val="Arial"/>
    </x:font>
    <x:font>
      <x:b/>
      <x:sz val="16"/>
      <x:color rgb="FF0F766E"/>
      <x:name val="Arial"/>
    </x:font>
    <x:font>
      <x:b/>
      <x:sz val="12"/>
      <x:color rgb="FF17324D"/>
      <x:name val="Arial"/>
    </x:font>
    <x:font>
      <x:i/>
      <x:sz val="10"/>
      <x:color rgb="FF5D6B7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1D6"/>
      </x:patternFill>
    </x:fill>
    <x:fill>
      <x:patternFill patternType="solid">
        <x:fgColor rgb="FF17324D"/>
      </x:patternFill>
    </x:fill>
    <x:fill>
      <x:patternFill patternType="solid">
        <x:fgColor rgb="FFEAF3F4"/>
      </x:patternFill>
    </x:fill>
    <x:fill>
      <x:patternFill patternType="solid">
        <x:fgColor rgb="FFF4F7FA"/>
      </x:patternFill>
    </x:fill>
  </x:fills>
  <x:borders count="4">
    <x:border/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</x:border>
  </x:borders>
  <x:cellStyleXfs count="1">
    <x:xf numFmtId="0" fontId="0" fillId="0" borderId="0"/>
  </x:cellStyleXfs>
  <x:cellXfs count="4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 wrapText="1"/>
    </x:xf>
    <x:xf numFmtId="0" fontId="2" fillId="5" borderId="3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0"/>
    </x:xf>
    <x:xf numFmtId="0" fontId="9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8">
    <x:dxf>
      <x:font>
        <x:b/>
        <x:color rgb="FF0F766E"/>
      </x:font>
      <x:fill>
        <x:patternFill>
          <x:bgColor rgb="FFE5F3EF"/>
        </x:patternFill>
      </x:fill>
    </x:dxf>
    <x:dxf>
      <x:font>
        <x:b/>
        <x:color rgb="FFA32C2A"/>
      </x:font>
      <x:fill>
        <x:patternFill>
          <x:bgColor rgb="FFFDE8E7"/>
        </x:patternFill>
      </x:fill>
    </x:dxf>
    <x:dxf>
      <x:font>
        <x:b/>
        <x:color rgb="FF8A5A00"/>
      </x:font>
      <x:fill>
        <x:patternFill>
          <x:bgColor rgb="FFFFF1D6"/>
        </x:patternFill>
      </x:fill>
    </x:dxf>
    <x:dxf>
      <x:font>
        <x:b/>
        <x:color rgb="FF315D83"/>
      </x:font>
      <x:fill>
        <x:patternFill>
          <x:bgColor rgb="FFEAF1F8"/>
        </x:patternFill>
      </x:fill>
    </x:dxf>
    <x:dxf>
      <x:font>
        <x:b/>
        <x:color rgb="FF0F766E"/>
      </x:font>
      <x:fill>
        <x:patternFill>
          <x:bgColor rgb="FFE5F3EF"/>
        </x:patternFill>
      </x:fill>
    </x:dxf>
    <x:dxf>
      <x:font>
        <x:b/>
        <x:color rgb="FF315D83"/>
      </x:font>
      <x:fill>
        <x:patternFill>
          <x:bgColor rgb="FFEAF1F8"/>
        </x:patternFill>
      </x:fill>
    </x:dxf>
    <x:dxf>
      <x:font>
        <x:b/>
        <x:color rgb="FFA32C2A"/>
      </x:font>
      <x:fill>
        <x:patternFill>
          <x:bgColor rgb="FFFDE8E7"/>
        </x:patternFill>
      </x:fill>
    </x:dxf>
    <x:dxf>
      <x:font>
        <x:b/>
        <x:color rgb="FF8A5A00"/>
      </x:font>
      <x:fill>
        <x:patternFill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c87c64ba684840" /><Relationship Type="http://schemas.openxmlformats.org/officeDocument/2006/relationships/theme" Target="/xl/theme/theme1.xml" Id="Re1c6fdbfd05a4895" /><Relationship Type="http://schemas.openxmlformats.org/officeDocument/2006/relationships/sharedStrings" Target="/xl/sharedStrings.xml" Id="Rafca3b19c3e24169" /><Relationship Type="http://schemas.openxmlformats.org/officeDocument/2006/relationships/worksheet" Target="/xl/worksheets/sheet1.xml" Id="R61b8d9c6cc5a4a43" /><Relationship Type="http://schemas.openxmlformats.org/officeDocument/2006/relationships/worksheet" Target="/xl/worksheets/sheet2.xml" Id="R1b2192aa96d34aad" /></Relationships>
</file>

<file path=xl/tables/table1.xml><?xml version="1.0" encoding="utf-8"?>
<x:table xmlns:x="http://schemas.openxmlformats.org/spreadsheetml/2006/main" id="1" name="CompletedWork" displayName="CompletedWork" ref="A9:D14" headerRowCount="1" totalsRowCount="0" totalsRowShown="0">
  <x:autoFilter ref="A9:D14"/>
  <x:tableColumns count="4">
    <x:tableColumn id="1" name="Đầu việc"/>
    <x:tableColumn id="2" name="Trạng thái"/>
    <x:tableColumn id="3" name="Tài liệu / đường dẫn chuẩn"/>
    <x:tableColumn id="4" name="Cổng tiếp theo / 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nReadinessGates" displayName="OpenReadinessGates" ref="A18:D26" headerRowCount="1" totalsRowCount="0" totalsRowShown="0">
  <x:autoFilter ref="A18:D26"/>
  <x:tableColumns count="4">
    <x:tableColumn id="1" name="Đầu việc"/>
    <x:tableColumn id="2" name="Trạng thái"/>
    <x:tableColumn id="3" name="Tài liệu / đường dẫn chuẩn"/>
    <x:tableColumn id="4" name="Cổng tiếp theo / ghi ch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idAssetInventory" displayName="PaidAssetInventory" ref="A5:H29" headerRowCount="1" totalsRowCount="0" totalsRowShown="0">
  <x:autoFilter ref="A5:H29"/>
  <x:tableColumns count="8">
    <x:tableColumn id="1" name="Mã tài sản"/>
    <x:tableColumn id="2" name="Kênh"/>
    <x:tableColumn id="3" name="Phân khúc/luồng"/>
    <x:tableColumn id="4" name="Tài sản / hạng mục"/>
    <x:tableColumn id="5" name="Trạng thái"/>
    <x:tableColumn id="6" name="Đường dẫn"/>
    <x:tableColumn id="7" name="Bằng chứng / xác minh"/>
    <x:tableColumn id="8" name="Cổng tiếp theo / 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c44c9bc8a24976" /><Relationship Type="http://schemas.openxmlformats.org/officeDocument/2006/relationships/table" Target="/xl/tables/table2.xml" Id="R935b52edfa8a45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8dba6d7bf9d424d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66" hidden="0" customWidth="1"/>
    <x:col min="4" max="4" width="66" hidden="0" customWidth="1"/>
  </x:cols>
  <x:sheetData>
    <x:row r="2">
      <x:c r="A2" s="37" t="str">
        <x:v>Digiwin Semiconductor Paid — Asset &amp; Pre-ad Readiness</x:v>
      </x:c>
      <x:c r="B2" s="37"/>
      <x:c r="C2" s="37"/>
      <x:c r="D2" s="37"/>
    </x:row>
    <x:row r="3">
      <x:c r="A3" s="11" t="str">
        <x:v>Ngày chốt</x:v>
      </x:c>
      <x:c r="B3" s="9" t="n">
        <x:v>46279</x:v>
      </x:c>
      <x:c r="C3" s="11" t="str">
        <x:v>Nguồn</x:v>
      </x:c>
      <x:c r="D3" s="8" t="str">
        <x:v>Nhánh main chuẩn 141118e</x:v>
      </x:c>
    </x:row>
    <x:row r="4">
      <x:c r="A4" s="11" t="str">
        <x:v>Ngân sách dự thảo</x:v>
      </x:c>
      <x:c r="B4" s="13" t="n">
        <x:v>1000000</x:v>
      </x:c>
      <x:c r="C4" s="11" t="str">
        <x:v>Trạng thái</x:v>
      </x:c>
      <x:c r="D4" s="16" t="str">
        <x:v>Chờ ban quản lý phê duyệt; chưa được phép chi</x:v>
      </x:c>
    </x:row>
    <x:row r="5">
      <x:c r="A5" s="20" t="str">
        <x:v>Hoàn tất</x:v>
      </x:c>
      <x:c r="B5" s="20" t="str">
        <x:v>Đang thực hiện</x:v>
      </x:c>
      <x:c r="C5" s="20" t="str">
        <x:v>Bị kẹt</x:v>
      </x:c>
      <x:c r="D5" s="20" t="str">
        <x:v>Hoãn</x:v>
      </x:c>
    </x:row>
    <x:row r="6">
      <x:c r="A6" s="24" t="n">
        <x:f>COUNTIF('Asset inventory'!$E$6:$E$29,"Hoàn tất")</x:f>
        <x:v>19</x:v>
      </x:c>
      <x:c r="B6" s="24" t="n">
        <x:f>COUNTIF('Asset inventory'!$E$6:$E$29,"Đang thực hiện")</x:f>
        <x:v>4</x:v>
      </x:c>
      <x:c r="C6" s="24" t="n">
        <x:f>COUNTIF('Asset inventory'!$E$6:$E$29,"Bị kẹt")</x:f>
        <x:v>0</x:v>
      </x:c>
      <x:c r="D6" s="24" t="n">
        <x:f>COUNTIF('Asset inventory'!$E$6:$E$29,"Hoãn")</x:f>
        <x:v>1</x:v>
      </x:c>
    </x:row>
    <x:row r="7">
      <x:c r="A7" s="38"/>
      <x:c r="B7" s="38"/>
      <x:c r="C7" s="38"/>
      <x:c r="D7" s="38"/>
    </x:row>
    <x:row r="8">
      <x:c r="A8" s="39" t="str">
        <x:v>Đã hoàn tất</x:v>
      </x:c>
      <x:c r="B8" s="39"/>
      <x:c r="C8" s="39"/>
      <x:c r="D8" s="39"/>
    </x:row>
    <x:row r="9" ht="34" customHeight="1">
      <x:c r="A9" s="28" t="str">
        <x:v>Đầu việc</x:v>
      </x:c>
      <x:c r="B9" s="28" t="str">
        <x:v>Trạng thái</x:v>
      </x:c>
      <x:c r="C9" s="28" t="str">
        <x:v>Tài liệu / đường dẫn chuẩn</x:v>
      </x:c>
      <x:c r="D9" s="28" t="str">
        <x:v>Cổng tiếp theo / ghi chú</x:v>
      </x:c>
    </x:row>
    <x:row r="10" ht="48" hidden="0" customHeight="1">
      <x:c r="A10" s="32" t="str">
        <x:v>3 LinkedIn static PNGs — visual audit</x:v>
      </x:c>
      <x:c r="B10" s="32" t="str">
        <x:v>Hoàn tất</x:v>
      </x:c>
      <x:c r="C10" s="40" t="str">
        <x:v>D:\Digiwin_Semiconducter_Workspace\ads\linkedin\LinkedIn_Build_Pack.md
D:\Digiwin_Semiconducter_Workspace\assets\linkedin\final\osat-square.png
D:\Digiwin_Semiconducter_Workspace\assets\linkedin\final\fabless-square.png
D:\Digiwin_Semiconducter_Workspace\assets\linkedin\final\partner-square.png</x:v>
      </x:c>
      <x:c r="D10" s="40" t="str">
        <x:v>Offline 1200×1200 visual QA passed; live account/Page/placement is not verified.</x:v>
      </x:c>
    </x:row>
    <x:row r="11" ht="48" hidden="0" customHeight="1">
      <x:c r="A11" s="33" t="str">
        <x:v>OSAT six-page document-ad PDF</x:v>
      </x:c>
      <x:c r="B11" s="33" t="str">
        <x:v>Hoàn tất</x:v>
      </x:c>
      <x:c r="C11" s="41" t="str">
        <x:v>D:\Digiwin_Semiconducter_Workspace\assets\linkedin\source\osat-document-ad-6p-copy.md
D:\Digiwin_Semiconducter_Workspace\output\pdf\digiwin-osat-document-ad-6p.pdf
D:\Digiwin_Semiconducter_Workspace\ads\linkedin\LinkedIn_Build_Pack.md</x:v>
      </x:c>
      <x:c r="D11" s="41" t="str">
        <x:v>Six-page offline artifact; no live LinkedIn ad object is implied.</x:v>
      </x:c>
    </x:row>
    <x:row r="12" ht="72" hidden="0" customHeight="1">
      <x:c r="A12" s="34" t="str">
        <x:v>Three route HTML files — local/technical QA</x:v>
      </x:c>
      <x:c r="B12" s="34" t="str">
        <x:v>Hoàn tất</x:v>
      </x:c>
      <x:c r="C12" s="42" t="str">
        <x:v>D:\Digiwin_Semiconducter_Workspace\landing\osat-route\osat-lot-test-traceability.html
D:\Digiwin_Semiconducter_Workspace\landing\fabless-route\fabless-outsourced-wip.html
D:\Digiwin_Semiconducter_Workspace\landing\partner-route\semiconductor-erp-mes-ot.html
D:\Digiwin_Semiconducter_Workspace\tests\landing-tracking.test.cjs</x:v>
      </x:c>
      <x:c r="D12" s="42" t="str">
        <x:v>24/24 automated tests pass. Current editor preview and pre-publication visual QA remain open.</x:v>
      </x:c>
    </x:row>
    <x:row r="13" ht="24" hidden="0" customHeight="1">
      <x:c r="A13" s="33" t="str">
        <x:v>Tracking contract and candidate guards</x:v>
      </x:c>
      <x:c r="B13" s="33" t="str">
        <x:v>Hoàn tất</x:v>
      </x:c>
      <x:c r="C13" s="41" t="str">
        <x:v>D:\Digiwin_Semiconducter_Workspace\tracking\Semiconductor_Tracking_Contract.md
D:\Digiwin_Semiconducter_Workspace\tests\landing-tracking.test.cjs</x:v>
      </x:c>
      <x:c r="D13" s="41" t="str">
        <x:v>Local contract/tests complete; live popup binding and submit-success event remain unknown.</x:v>
      </x:c>
    </x:row>
    <x:row r="14" ht="36" hidden="0" customHeight="1">
      <x:c r="A14" s="35" t="str">
        <x:v>Canonical runbooks and sanitized evidence</x:v>
      </x:c>
      <x:c r="B14" s="35" t="str">
        <x:v>Hoàn tất</x:v>
      </x:c>
      <x:c r="C14" s="43" t="str">
        <x:v>D:\Digiwin_Semiconducter_Workspace\operations\LadiPage_Draft_Runbook.md
D:\Digiwin_Semiconducter_Workspace\operations\Pre_Ad_UI_Validation_Evidence.md
D:\Digiwin_Semiconducter_Workspace\operations\Pre_Ad_Readiness_Plan.md</x:v>
      </x:c>
      <x:c r="D14" s="43" t="str">
        <x:v>Evidence distinguishes old prototype preview from current final-route blocker; no publication.</x:v>
      </x:c>
    </x:row>
    <x:row r="15">
      <x:c r="A15" s="38"/>
      <x:c r="B15" s="38"/>
      <x:c r="C15" s="38"/>
      <x:c r="D15" s="38"/>
    </x:row>
    <x:row r="16">
      <x:c r="A16" s="38"/>
      <x:c r="B16" s="38"/>
      <x:c r="C16" s="38"/>
      <x:c r="D16" s="38"/>
    </x:row>
    <x:row r="17">
      <x:c r="A17" s="39" t="str">
        <x:v>Đầu việc đang mở / bị kẹt</x:v>
      </x:c>
      <x:c r="B17" s="39"/>
      <x:c r="C17" s="39"/>
      <x:c r="D17" s="39"/>
    </x:row>
    <x:row r="18" ht="34" customHeight="1">
      <x:c r="A18" s="28" t="str">
        <x:v>Đầu việc</x:v>
      </x:c>
      <x:c r="B18" s="28" t="str">
        <x:v>Trạng thái</x:v>
      </x:c>
      <x:c r="C18" s="28" t="str">
        <x:v>Tài liệu / đường dẫn chuẩn</x:v>
      </x:c>
      <x:c r="D18" s="28" t="str">
        <x:v>Cổng tiếp theo / ghi chú</x:v>
      </x:c>
    </x:row>
    <x:row r="19" ht="36" hidden="0" customHeight="1">
      <x:c r="A19" s="32" t="str">
        <x:v>LadiPage final-route draft import and preview</x:v>
      </x:c>
      <x:c r="B19" s="32" t="str">
        <x:v>Bị kẹt</x:v>
      </x:c>
      <x:c r="C19" s="40" t="str">
        <x:v>D:\Digiwin_Semiconducter_Workspace\operations\LadiPage_Draft_Runbook.md
D:\Digiwin_Semiconducter_Workspace\operations\Pre_Ad_UI_Validation_Evidence.md</x:v>
      </x:c>
      <x:c r="D19" s="40" t="str">
        <x:v>Latest OSAT file-control click left the screen unchanged: no chooser, transfer, draft or preview. Earlier separate attempt returned Not allowed. Obtain a supported transfer route.</x:v>
      </x:c>
    </x:row>
    <x:row r="20" ht="24" hidden="0" customHeight="1">
      <x:c r="A20" s="33" t="str">
        <x:v>Popup/form binding and submit-success event</x:v>
      </x:c>
      <x:c r="B20" s="33" t="str">
        <x:v>Bị kẹt</x:v>
      </x:c>
      <x:c r="C20" s="41" t="str">
        <x:v>D:\Digiwin_Semiconducter_Workspace\tracking\Semiconductor_Tracking_Contract.md
D:\Digiwin_Semiconducter_Workspace\operations\LadiPage_Draft_Runbook.md</x:v>
      </x:c>
      <x:c r="D20" s="41" t="str">
        <x:v>Inventory existing LadiPage/OpenformWF2 binding and actual successful-submit event owner/name in LadiPage and GTM/GA4. A CTA trigger click is not form or lead success.</x:v>
      </x:c>
    </x:row>
    <x:row r="21" ht="36" hidden="0" customHeight="1">
      <x:c r="A21" s="34" t="str">
        <x:v>Nghiên cứu Google Keyword Planner tại Việt Nam</x:v>
      </x:c>
      <x:c r="B21" s="34" t="str">
        <x:v>Hoàn tất</x:v>
      </x:c>
      <x:c r="C21" s="42" t="str">
        <x:v>D:\Digiwin_Semiconducter_Workspace\drafts\S02_Google_Search_Research.md
D:\Digiwin_Semiconducter_Workspace\ads\google\Google_Search_Build_Sheet.md
D:\Digiwin_Semiconducter_Workspace\operations\Pre_Ad_UI_Validation_Evidence.md</x:v>
      </x:c>
      <x:c r="D21" s="42" t="str">
        <x:v>DOM-only ad-blocker text was a false signal; Planner interaction worked. OSAT/Fabless showed no displayed metrics; Partner had only one limited historical estimate and seven all-dash rows. Three automatic Planner drafts accepted; no campaign or spend. Broader account/campaign settings and performance remain unknown.</x:v>
      </x:c>
    </x:row>
    <x:row r="22" ht="24" hidden="0" customHeight="1">
      <x:c r="A22" s="33" t="str">
        <x:v>Google campaign creation, enablement and spend</x:v>
      </x:c>
      <x:c r="B22" s="33" t="str">
        <x:v>Hoãn</x:v>
      </x:c>
      <x:c r="C22" s="41" t="str">
        <x:v>D:\Digiwin_Semiconducter_Workspace\ads\google\Google_Search_Build_Sheet.md
D:\Digiwin_Semiconducter_Workspace\operations\Pre_Ad_Readiness_Plan.md</x:v>
      </x:c>
      <x:c r="D22" s="41" t="str">
        <x:v>No Google campaign was created or enabled; no spend occurred. Keep the campaign gate closed pending research, budget approval and separate authorization.</x:v>
      </x:c>
    </x:row>
    <x:row r="23" ht="24" hidden="0" customHeight="1">
      <x:c r="A23" s="34" t="str">
        <x:v>LinkedIn account, Page and placement verification</x:v>
      </x:c>
      <x:c r="B23" s="34" t="str">
        <x:v>Bị kẹt</x:v>
      </x:c>
      <x:c r="C23" s="42" t="str">
        <x:v>D:\Digiwin_Semiconducter_Workspace\ads\linkedin\LinkedIn_Build_Pack.md
D:\Digiwin_Semiconducter_Workspace\drafts\S03_LinkedIn_Audience_Research.md</x:v>
      </x:c>
      <x:c r="D23" s="42" t="str">
        <x:v>Latest direct route redirected to sign-in. Account, Page and placement are not verified; no credentials were entered.</x:v>
      </x:c>
    </x:row>
    <x:row r="24" ht="24" hidden="0" customHeight="1">
      <x:c r="A24" s="33" t="str">
        <x:v>LinkedIn audience and retargeting work</x:v>
      </x:c>
      <x:c r="B24" s="33" t="str">
        <x:v>Hoãn</x:v>
      </x:c>
      <x:c r="C24" s="41" t="str">
        <x:v>D:\Digiwin_Semiconducter_Workspace\drafts\S03_LinkedIn_Audience_Research.md
D:\Digiwin_Semiconducter_Workspace\operations\Pre_Ad_Readiness_Plan.md</x:v>
      </x:c>
      <x:c r="D24" s="41" t="str">
        <x:v>Deferred by Bảo. No audience upload. Retargeting remains conditional on evidence of at least 300 reachable members.</x:v>
      </x:c>
    </x:row>
    <x:row r="25" ht="24" hidden="0" customHeight="1">
      <x:c r="A25" s="34" t="str">
        <x:v>Phê duyệt ngân sách ngày</x:v>
      </x:c>
      <x:c r="B25" s="34" t="str">
        <x:v>Hoãn</x:v>
      </x:c>
      <x:c r="C25" s="42" t="str">
        <x:v>D:\Digiwin_Semiconducter_Workspace\operations\Pre_Ad_Readiness_Plan.md
D:\Digiwin_Semiconducter_Workspace\drafts\S04_Measurement_and_Budget.md</x:v>
      </x:c>
      <x:c r="D25" s="42" t="str">
        <x:v>1,000,000 VND/ngày chỉ là dự thảo kế hoạch. Chưa có phê duyệt của ban quản lý; lịch chạy và cơ sở thuế/phí còn chờ xác nhận. Đây không phải quyền chi tiêu.</x:v>
      </x:c>
    </x:row>
    <x:row r="26" ht="24" hidden="0" customHeight="1">
      <x:c r="A26" s="36" t="str">
        <x:v>Pre-publication visual QA</x:v>
      </x:c>
      <x:c r="B26" s="36" t="str">
        <x:v>Bị kẹt</x:v>
      </x:c>
      <x:c r="C26" s="44" t="str">
        <x:v>D:\Digiwin_Semiconducter_Workspace\operations\Pre_Ad_UI_Validation_Evidence.md
D:\Digiwin_Semiconducter_Workspace\operations\LadiPage_Draft_Runbook.md</x:v>
      </x:c>
      <x:c r="D26" s="44" t="str">
        <x:v>Wait for successful supported import, then inspect editor desktop and mobile. No final-route preview or publication is claimed.</x:v>
      </x:c>
    </x:row>
  </x:sheetData>
  <x:conditionalFormatting sqref="B10:B14">
    <x:cfRule type="containsText" dxfId="0" priority="1" operator="containsText" text="Hoàn tất"/>
  </x:conditionalFormatting>
  <x:conditionalFormatting sqref="B19:B26">
    <x:cfRule type="containsText" dxfId="1" priority="2" operator="containsText" text="Bị kẹt"/>
    <x:cfRule type="containsText" dxfId="2" priority="3" operator="containsText" text="Hoãn"/>
    <x:cfRule type="containsText" dxfId="3" priority="4" operator="containsText" text="Đang thực hiện"/>
  </x:conditionalFormatting>
  <x:pageMargins left="0.7" right="0.7" top="0.75" bottom="0.75" header="0.3" footer="0.3"/>
  <x:tableParts count="2">
    <x:tablePart xmlns:r="http://schemas.openxmlformats.org/officeDocument/2006/relationships" r:id="Ra9c44c9bc8a24976"/>
    <x:tablePart xmlns:r="http://schemas.openxmlformats.org/officeDocument/2006/relationships" r:id="R935b52edfa8a4516"/>
  </x:tableParts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3" hidden="0" customWidth="1"/>
    <x:col min="4" max="4" width="43" hidden="0" customWidth="1"/>
    <x:col min="5" max="5" width="18" hidden="0" customWidth="1"/>
    <x:col min="6" max="6" width="82" hidden="0" customWidth="1"/>
    <x:col min="7" max="7" width="60" hidden="0" customWidth="1"/>
    <x:col min="8" max="8" width="66" hidden="0" customWidth="1"/>
  </x:cols>
  <x:sheetData>
    <x:row r="2">
      <x:c r="A2" s="4" t="str">
        <x:v>Danh mục tài sản quảng cáo</x:v>
      </x:c>
      <x:c r="B2" s="4"/>
      <x:c r="C2" s="4"/>
      <x:c r="D2" s="4"/>
      <x:c r="E2" s="4"/>
      <x:c r="F2" s="4"/>
      <x:c r="G2" s="4"/>
      <x:c r="H2" s="4"/>
    </x:row>
    <x:row r="3" ht="20" customHeight="1">
      <x:c r="A3" s="47" t="str">
        <x:v>Chốt ngày 2026-09-14. Trạng thái thể hiện mức hoàn tất của tài liệu; ghi chú riêng về mức sẵn sàng vận hành và các điều kiện còn mở.</x:v>
      </x:c>
      <x:c r="B3" s="47"/>
      <x:c r="C3" s="47"/>
      <x:c r="D3" s="47"/>
      <x:c r="E3" s="47"/>
      <x:c r="F3" s="47"/>
      <x:c r="G3" s="47"/>
      <x:c r="H3" s="47"/>
    </x:row>
    <x:row r="5" ht="36" customHeight="1">
      <x:c r="A5" s="28" t="str">
        <x:v>Mã tài sản</x:v>
      </x:c>
      <x:c r="B5" s="28" t="str">
        <x:v>Kênh</x:v>
      </x:c>
      <x:c r="C5" s="28" t="str">
        <x:v>Phân khúc/luồng</x:v>
      </x:c>
      <x:c r="D5" s="28" t="str">
        <x:v>Tài sản / hạng mục</x:v>
      </x:c>
      <x:c r="E5" s="28" t="str">
        <x:v>Trạng thái</x:v>
      </x:c>
      <x:c r="F5" s="28" t="str">
        <x:v>Đường dẫn</x:v>
      </x:c>
      <x:c r="G5" s="28" t="str">
        <x:v>Bằng chứng / xác minh</x:v>
      </x:c>
      <x:c r="H5" s="28" t="str">
        <x:v>Cổng tiếp theo / ghi chú</x:v>
      </x:c>
    </x:row>
    <x:row r="6" ht="24" hidden="0" customHeight="1">
      <x:c r="A6" s="32" t="str">
        <x:v>ROUTE-OSAT</x:v>
      </x:c>
      <x:c r="B6" s="32" t="str">
        <x:v>Landing page</x:v>
      </x:c>
      <x:c r="C6" s="32" t="str">
        <x:v>OSAT</x:v>
      </x:c>
      <x:c r="D6" s="32" t="str">
        <x:v>Final HTML route — lot/test traceability</x:v>
      </x:c>
      <x:c r="E6" s="32" t="str">
        <x:v>Hoàn tất</x:v>
      </x:c>
      <x:c r="F6" s="32" t="str">
        <x:v>D:\Digiwin_Semiconducter_Workspace\landing\osat-route\osat-lot-test-traceability.html</x:v>
      </x:c>
      <x:c r="G6" s="40" t="str">
        <x:v>Local HTML candidate; automated route/tracking suite 24/24. No embedded form; two consultation CTAs.</x:v>
      </x:c>
      <x:c r="H6" s="40" t="str">
        <x:v>LadiPage import and desktop/mobile editor preview remain pending; no current final-route draft.</x:v>
      </x:c>
    </x:row>
    <x:row r="7" ht="24" hidden="0" customHeight="1">
      <x:c r="A7" s="33" t="str">
        <x:v>ROUTE-FABLESS</x:v>
      </x:c>
      <x:c r="B7" s="33" t="str">
        <x:v>Landing page</x:v>
      </x:c>
      <x:c r="C7" s="33" t="str">
        <x:v>Fabless</x:v>
      </x:c>
      <x:c r="D7" s="33" t="str">
        <x:v>Final HTML route — outsourced-WIP handoff</x:v>
      </x:c>
      <x:c r="E7" s="33" t="str">
        <x:v>Hoàn tất</x:v>
      </x:c>
      <x:c r="F7" s="33" t="str">
        <x:v>D:\Digiwin_Semiconducter_Workspace\landing\fabless-route\fabless-outsourced-wip.html</x:v>
      </x:c>
      <x:c r="G7" s="41" t="str">
        <x:v>Local HTML candidate; automated route/tracking suite 24/24. No embedded form; two consultation CTAs.</x:v>
      </x:c>
      <x:c r="H7" s="41" t="str">
        <x:v>LadiPage import and desktop/mobile editor preview remain pending; no current final-route draft.</x:v>
      </x:c>
    </x:row>
    <x:row r="8" ht="24" hidden="0" customHeight="1">
      <x:c r="A8" s="34" t="str">
        <x:v>ROUTE-PARTNER</x:v>
      </x:c>
      <x:c r="B8" s="34" t="str">
        <x:v>Landing page</x:v>
      </x:c>
      <x:c r="C8" s="34" t="str">
        <x:v>ERP–MES–OT partner</x:v>
      </x:c>
      <x:c r="D8" s="34" t="str">
        <x:v>Final HTML route — system-layer map</x:v>
      </x:c>
      <x:c r="E8" s="34" t="str">
        <x:v>Hoàn tất</x:v>
      </x:c>
      <x:c r="F8" s="34" t="str">
        <x:v>D:\Digiwin_Semiconducter_Workspace\landing\partner-route\semiconductor-erp-mes-ot.html</x:v>
      </x:c>
      <x:c r="G8" s="42" t="str">
        <x:v>Local HTML candidate; automated route/tracking suite 24/24. No embedded form; two consultation CTAs.</x:v>
      </x:c>
      <x:c r="H8" s="42" t="str">
        <x:v>LadiPage import and desktop/mobile editor preview remain pending; no current final-route draft.</x:v>
      </x:c>
    </x:row>
    <x:row r="9" ht="15" hidden="0" customHeight="1">
      <x:c r="A9" s="33" t="str">
        <x:v>DS-MASTER</x:v>
      </x:c>
      <x:c r="B9" s="33" t="str">
        <x:v>Design system</x:v>
      </x:c>
      <x:c r="C9" s="33" t="str">
        <x:v>All semiconductor routes</x:v>
      </x:c>
      <x:c r="D9" s="33" t="str">
        <x:v>Master design system</x:v>
      </x:c>
      <x:c r="E9" s="33" t="str">
        <x:v>Hoàn tất</x:v>
      </x:c>
      <x:c r="F9" s="33" t="str">
        <x:v>D:\Digiwin_Semiconducter_Workspace\design-system\digiwin-semiconductor-marketing\MASTER.md</x:v>
      </x:c>
      <x:c r="G9" s="41" t="str">
        <x:v>Canonical master rules with route-specific page overrides.</x:v>
      </x:c>
      <x:c r="H9" s="41" t="str">
        <x:v>Keep route files aligned with Master and their matching page override.</x:v>
      </x:c>
    </x:row>
    <x:row r="10" ht="15" hidden="0" customHeight="1">
      <x:c r="A10" s="34" t="str">
        <x:v>LI-SVG-OSAT</x:v>
      </x:c>
      <x:c r="B10" s="34" t="str">
        <x:v>LinkedIn</x:v>
      </x:c>
      <x:c r="C10" s="34" t="str">
        <x:v>OSAT</x:v>
      </x:c>
      <x:c r="D10" s="34" t="str">
        <x:v>Source creative — square SVG</x:v>
      </x:c>
      <x:c r="E10" s="34" t="str">
        <x:v>Hoàn tất</x:v>
      </x:c>
      <x:c r="F10" s="34" t="str">
        <x:v>D:\Digiwin_Semiconducter_Workspace\assets\linkedin\source\osat-square.svg</x:v>
      </x:c>
      <x:c r="G10" s="42" t="str">
        <x:v>Source vector exists; linked visual audit recorded in LinkedIn Build Pack.</x:v>
      </x:c>
      <x:c r="H10" s="42" t="str">
        <x:v>No account, Page or placement verification is implied.</x:v>
      </x:c>
    </x:row>
    <x:row r="11" ht="15" hidden="0" customHeight="1">
      <x:c r="A11" s="33" t="str">
        <x:v>LI-SVG-FABLESS</x:v>
      </x:c>
      <x:c r="B11" s="33" t="str">
        <x:v>LinkedIn</x:v>
      </x:c>
      <x:c r="C11" s="33" t="str">
        <x:v>Fabless</x:v>
      </x:c>
      <x:c r="D11" s="33" t="str">
        <x:v>Source creative — square SVG</x:v>
      </x:c>
      <x:c r="E11" s="33" t="str">
        <x:v>Hoàn tất</x:v>
      </x:c>
      <x:c r="F11" s="33" t="str">
        <x:v>D:\Digiwin_Semiconducter_Workspace\assets\linkedin\source\fabless-square.svg</x:v>
      </x:c>
      <x:c r="G11" s="41" t="str">
        <x:v>Source vector exists; linked visual audit recorded in LinkedIn Build Pack.</x:v>
      </x:c>
      <x:c r="H11" s="41" t="str">
        <x:v>No account, Page or placement verification is implied.</x:v>
      </x:c>
    </x:row>
    <x:row r="12" ht="15" hidden="0" customHeight="1">
      <x:c r="A12" s="34" t="str">
        <x:v>LI-SVG-PARTNER</x:v>
      </x:c>
      <x:c r="B12" s="34" t="str">
        <x:v>LinkedIn</x:v>
      </x:c>
      <x:c r="C12" s="34" t="str">
        <x:v>Supplier / partner</x:v>
      </x:c>
      <x:c r="D12" s="34" t="str">
        <x:v>Source creative — square SVG</x:v>
      </x:c>
      <x:c r="E12" s="34" t="str">
        <x:v>Hoàn tất</x:v>
      </x:c>
      <x:c r="F12" s="34" t="str">
        <x:v>D:\Digiwin_Semiconducter_Workspace\assets\linkedin\source\partner-square.svg</x:v>
      </x:c>
      <x:c r="G12" s="42" t="str">
        <x:v>Source vector exists; linked visual audit recorded in LinkedIn Build Pack.</x:v>
      </x:c>
      <x:c r="H12" s="42" t="str">
        <x:v>No account, Page or placement verification is implied.</x:v>
      </x:c>
    </x:row>
    <x:row r="13" ht="24" hidden="0" customHeight="1">
      <x:c r="A13" s="33" t="str">
        <x:v>LI-PNG-OSAT</x:v>
      </x:c>
      <x:c r="B13" s="33" t="str">
        <x:v>LinkedIn</x:v>
      </x:c>
      <x:c r="C13" s="33" t="str">
        <x:v>OSAT</x:v>
      </x:c>
      <x:c r="D13" s="33" t="str">
        <x:v>Final static creative — 1200×1200 PNG</x:v>
      </x:c>
      <x:c r="E13" s="33" t="str">
        <x:v>Hoàn tất</x:v>
      </x:c>
      <x:c r="F13" s="33" t="str">
        <x:v>D:\Digiwin_Semiconducter_Workspace\assets\linkedin\final\osat-square.png</x:v>
      </x:c>
      <x:c r="G13" s="41" t="str">
        <x:v>Full-resolution visual QA: text legibility, clipping, overlap, logo and aspect integrity checked.</x:v>
      </x:c>
      <x:c r="H13" s="41" t="str">
        <x:v>Offline visual QA only; in-platform placement remains unverified.</x:v>
      </x:c>
    </x:row>
    <x:row r="14" ht="24" hidden="0" customHeight="1">
      <x:c r="A14" s="34" t="str">
        <x:v>LI-PNG-FABLESS</x:v>
      </x:c>
      <x:c r="B14" s="34" t="str">
        <x:v>LinkedIn</x:v>
      </x:c>
      <x:c r="C14" s="34" t="str">
        <x:v>Fabless</x:v>
      </x:c>
      <x:c r="D14" s="34" t="str">
        <x:v>Final static creative — 1200×1200 PNG</x:v>
      </x:c>
      <x:c r="E14" s="34" t="str">
        <x:v>Hoàn tất</x:v>
      </x:c>
      <x:c r="F14" s="34" t="str">
        <x:v>D:\Digiwin_Semiconducter_Workspace\assets\linkedin\final\fabless-square.png</x:v>
      </x:c>
      <x:c r="G14" s="42" t="str">
        <x:v>Full-resolution visual QA: text legibility, clipping, overlap, logo and aspect integrity checked.</x:v>
      </x:c>
      <x:c r="H14" s="42" t="str">
        <x:v>Offline visual QA only; in-platform placement remains unverified.</x:v>
      </x:c>
    </x:row>
    <x:row r="15" ht="24" hidden="0" customHeight="1">
      <x:c r="A15" s="33" t="str">
        <x:v>LI-PNG-PARTNER</x:v>
      </x:c>
      <x:c r="B15" s="33" t="str">
        <x:v>LinkedIn</x:v>
      </x:c>
      <x:c r="C15" s="33" t="str">
        <x:v>Supplier / partner</x:v>
      </x:c>
      <x:c r="D15" s="33" t="str">
        <x:v>Final static creative — 1200×1200 PNG</x:v>
      </x:c>
      <x:c r="E15" s="33" t="str">
        <x:v>Hoàn tất</x:v>
      </x:c>
      <x:c r="F15" s="33" t="str">
        <x:v>D:\Digiwin_Semiconducter_Workspace\assets\linkedin\final\partner-square.png</x:v>
      </x:c>
      <x:c r="G15" s="41" t="str">
        <x:v>Full-resolution visual QA: text legibility, clipping, overlap, logo and aspect integrity checked.</x:v>
      </x:c>
      <x:c r="H15" s="41" t="str">
        <x:v>Offline visual QA only; in-platform placement remains unverified.</x:v>
      </x:c>
    </x:row>
    <x:row r="16" ht="15" hidden="0" customHeight="1">
      <x:c r="A16" s="34" t="str">
        <x:v>LI-DOC-COPY</x:v>
      </x:c>
      <x:c r="B16" s="34" t="str">
        <x:v>LinkedIn</x:v>
      </x:c>
      <x:c r="C16" s="34" t="str">
        <x:v>OSAT</x:v>
      </x:c>
      <x:c r="D16" s="34" t="str">
        <x:v>Source copy — six-page document ad</x:v>
      </x:c>
      <x:c r="E16" s="34" t="str">
        <x:v>Hoàn tất</x:v>
      </x:c>
      <x:c r="F16" s="34" t="str">
        <x:v>D:\Digiwin_Semiconducter_Workspace\assets\linkedin\source\osat-document-ad-6p-copy.md</x:v>
      </x:c>
      <x:c r="G16" s="42" t="str">
        <x:v>Six-page copy source exists and is paired with the final PDF.</x:v>
      </x:c>
      <x:c r="H16" s="42" t="str">
        <x:v>LinkedIn account/Page/placement readiness remains unverified.</x:v>
      </x:c>
    </x:row>
    <x:row r="17" ht="24" hidden="0" customHeight="1">
      <x:c r="A17" s="33" t="str">
        <x:v>LI-DOC-PDF</x:v>
      </x:c>
      <x:c r="B17" s="33" t="str">
        <x:v>LinkedIn</x:v>
      </x:c>
      <x:c r="C17" s="33" t="str">
        <x:v>OSAT</x:v>
      </x:c>
      <x:c r="D17" s="33" t="str">
        <x:v>Final six-page document ad PDF</x:v>
      </x:c>
      <x:c r="E17" s="33" t="str">
        <x:v>Hoàn tất</x:v>
      </x:c>
      <x:c r="F17" s="33" t="str">
        <x:v>D:\Digiwin_Semiconducter_Workspace\output\pdf\digiwin-osat-document-ad-6p.pdf</x:v>
      </x:c>
      <x:c r="G17" s="41" t="str">
        <x:v>Offline PDF exists; Build Pack records six pages, A4 portrait, 98,953 bytes and its SHA-256.</x:v>
      </x:c>
      <x:c r="H17" s="41" t="str">
        <x:v>Account/Page/placement and live-object readiness remain unverified.</x:v>
      </x:c>
    </x:row>
    <x:row r="18" ht="24" hidden="0" customHeight="1">
      <x:c r="A18" s="34" t="str">
        <x:v>LI-BUILD</x:v>
      </x:c>
      <x:c r="B18" s="34" t="str">
        <x:v>LinkedIn</x:v>
      </x:c>
      <x:c r="C18" s="34" t="str">
        <x:v>All segments</x:v>
      </x:c>
      <x:c r="D18" s="34" t="str">
        <x:v>LinkedIn Build Pack</x:v>
      </x:c>
      <x:c r="E18" s="34" t="str">
        <x:v>Hoàn tất</x:v>
      </x:c>
      <x:c r="F18" s="34" t="str">
        <x:v>D:\Digiwin_Semiconducter_Workspace\ads\linkedin\LinkedIn_Build_Pack.md</x:v>
      </x:c>
      <x:c r="G18" s="42" t="str">
        <x:v>Offline creative/build guidance is complete; no account/Page/placement proof.</x:v>
      </x:c>
      <x:c r="H18" s="42" t="str">
        <x:v>Verify account, Page and placement through an authorized read-only UI review before any object work.</x:v>
      </x:c>
    </x:row>
    <x:row r="19" ht="15" hidden="0" customHeight="1">
      <x:c r="A19" s="33" t="str">
        <x:v>GOOGLE-BUILD</x:v>
      </x:c>
      <x:c r="B19" s="33" t="str">
        <x:v>Google Search</x:v>
      </x:c>
      <x:c r="C19" s="33" t="str">
        <x:v>OSAT / Fabless / Partner</x:v>
      </x:c>
      <x:c r="D19" s="33" t="str">
        <x:v>Planning draft — Search Build Sheet</x:v>
      </x:c>
      <x:c r="E19" s="33" t="str">
        <x:v>Đang thực hiện</x:v>
      </x:c>
      <x:c r="F19" s="33" t="str">
        <x:v>D:\Digiwin_Semiconducter_Workspace\ads\google\Google_Search_Build_Sheet.md</x:v>
      </x:c>
      <x:c r="G19" s="41" t="str">
        <x:v>Offline campaign/ad-group/keyword/RSA plan; no remote campaign creation.</x:v>
      </x:c>
      <x:c r="H19" s="41" t="str">
        <x:v>Fresh Vietnam keyword evidence and separate operational gate remain open.</x:v>
      </x:c>
    </x:row>
    <x:row r="20" ht="24" hidden="0" customHeight="1">
      <x:c r="A20" s="34" t="str">
        <x:v>GOOGLE-RESEARCH</x:v>
      </x:c>
      <x:c r="B20" s="34" t="str">
        <x:v>Google Search</x:v>
      </x:c>
      <x:c r="C20" s="34" t="str">
        <x:v>Vietnam semiconductor</x:v>
      </x:c>
      <x:c r="D20" s="34" t="str">
        <x:v>Planning draft — Search keyword research</x:v>
      </x:c>
      <x:c r="E20" s="34" t="str">
        <x:v>Hoàn tất</x:v>
      </x:c>
      <x:c r="F20" s="34" t="str">
        <x:v>D:\Digiwin_Semiconducter_Workspace\drafts\S02_Google_Search_Research.md</x:v>
      </x:c>
      <x:c r="G20" s="42" t="str">
        <x:v>Planner opened and all three planned Vietnamese-first seed clusters queried on 2026-09-14: OSAT and Fabless all displayed dashes; Partner had one row with 10 average monthly searches, 0% 3-month change and -100% year-over-year, seven all-dash rows. Dashes do not mean zero demand; one estimate is not a forecast or delivery result.</x:v>
      </x:c>
      <x:c r="H20" s="42" t="str">
        <x:v>Research slice complete. Bảo accepted the three automatically created Planner draft entries; these are not campaigns. Metric ambiguity/low observed data leaves account overlap, live settings, CPC/competition and demand unresolved. No build, enablement or spend authorized by this evidence.</x:v>
      </x:c>
    </x:row>
    <x:row r="21" ht="24" hidden="0" customHeight="1">
      <x:c r="A21" s="33" t="str">
        <x:v>S01-PROOF</x:v>
      </x:c>
      <x:c r="B21" s="33" t="str">
        <x:v>Cross-channel</x:v>
      </x:c>
      <x:c r="C21" s="33" t="str">
        <x:v>All segments</x:v>
      </x:c>
      <x:c r="D21" s="33" t="str">
        <x:v>Planning draft — proof and message map</x:v>
      </x:c>
      <x:c r="E21" s="33" t="str">
        <x:v>Đang thực hiện</x:v>
      </x:c>
      <x:c r="F21" s="33" t="str">
        <x:v>D:\Digiwin_Semiconducter_Workspace\drafts\S01_Proof_and_Message.md</x:v>
      </x:c>
      <x:c r="G21" s="41" t="str">
        <x:v>Local draft; no live validation. Claims remain subject to independent proof and rights checks.</x:v>
      </x:c>
      <x:c r="H21" s="41" t="str">
        <x:v>Validate source, scope and usage rights before reusing claims in a live asset.</x:v>
      </x:c>
    </x:row>
    <x:row r="22" ht="24" hidden="0" customHeight="1">
      <x:c r="A22" s="34" t="str">
        <x:v>S03-AUDIENCE</x:v>
      </x:c>
      <x:c r="B22" s="34" t="str">
        <x:v>LinkedIn</x:v>
      </x:c>
      <x:c r="C22" s="34" t="str">
        <x:v>Audience / retargeting</x:v>
      </x:c>
      <x:c r="D22" s="34" t="str">
        <x:v>Planning draft — audience research</x:v>
      </x:c>
      <x:c r="E22" s="34" t="str">
        <x:v>Hoãn</x:v>
      </x:c>
      <x:c r="F22" s="34" t="str">
        <x:v>D:\Digiwin_Semiconducter_Workspace\drafts\S03_LinkedIn_Audience_Research.md</x:v>
      </x:c>
      <x:c r="G22" s="42" t="str">
        <x:v>Draft only; account/Page/audience eligibility not verified; no audience upload.</x:v>
      </x:c>
      <x:c r="H22" s="42" t="str">
        <x:v>Audience and retargeting work is deferred by Bảo; no upload. Any future retargeting requires eligibility evidence (at least 300 reachable members).</x:v>
      </x:c>
    </x:row>
    <x:row r="23" ht="24" hidden="0" customHeight="1">
      <x:c r="A23" s="33" t="str">
        <x:v>S04-MEASUREMENT</x:v>
      </x:c>
      <x:c r="B23" s="33" t="str">
        <x:v>Cross-channel</x:v>
      </x:c>
      <x:c r="C23" s="33" t="str">
        <x:v>Measurement / budget</x:v>
      </x:c>
      <x:c r="D23" s="33" t="str">
        <x:v>Planning draft — measurement and budget</x:v>
      </x:c>
      <x:c r="E23" s="33" t="str">
        <x:v>Đang thực hiện</x:v>
      </x:c>
      <x:c r="F23" s="33" t="str">
        <x:v>D:\Digiwin_Semiconducter_Workspace\drafts\S04_Measurement_and_Budget.md</x:v>
      </x:c>
      <x:c r="G23" s="41" t="str">
        <x:v>Draft only; no live tracking/account mutation or approved live budget.</x:v>
      </x:c>
      <x:c r="H23" s="41" t="str">
        <x:v>The 1,000,000 VND/day planning envelope is draft only and awaits management approval, dates and fee basis.</x:v>
      </x:c>
    </x:row>
    <x:row r="24" ht="24" hidden="0" customHeight="1">
      <x:c r="A24" s="34" t="str">
        <x:v>TRACKING</x:v>
      </x:c>
      <x:c r="B24" s="34" t="str">
        <x:v>Tracking</x:v>
      </x:c>
      <x:c r="C24" s="34" t="str">
        <x:v>All semiconductor routes</x:v>
      </x:c>
      <x:c r="D24" s="34" t="str">
        <x:v>Tracking contract and candidate guards</x:v>
      </x:c>
      <x:c r="E24" s="34" t="str">
        <x:v>Hoàn tất</x:v>
      </x:c>
      <x:c r="F24" s="34" t="str">
        <x:v>D:\Digiwin_Semiconducter_Workspace\tracking\Semiconductor_Tracking_Contract.md</x:v>
      </x:c>
      <x:c r="G24" s="42" t="str">
        <x:v>Candidate semantics and local guards are documented; route suite passes 24/24. Live event inventory is not established.</x:v>
      </x:c>
      <x:c r="H24" s="42" t="str">
        <x:v>Inventory current LadiPage, GTM and GA4 binding; do not treat CTA click as lead/form success.</x:v>
      </x:c>
    </x:row>
    <x:row r="25" ht="24" hidden="0" customHeight="1">
      <x:c r="A25" s="33" t="str">
        <x:v>READINESS-PLAN</x:v>
      </x:c>
      <x:c r="B25" s="33" t="str">
        <x:v>Operations</x:v>
      </x:c>
      <x:c r="C25" s="33" t="str">
        <x:v>All paid workstreams</x:v>
      </x:c>
      <x:c r="D25" s="33" t="str">
        <x:v>Pre-Ad Readiness Plan</x:v>
      </x:c>
      <x:c r="E25" s="33" t="str">
        <x:v>Đang thực hiện</x:v>
      </x:c>
      <x:c r="F25" s="33" t="str">
        <x:v>D:\Digiwin_Semiconducter_Workspace\operations\Pre_Ad_Readiness_Plan.md</x:v>
      </x:c>
      <x:c r="G25" s="41" t="str">
        <x:v>Plan approved; execution active; launch not authorized.</x:v>
      </x:c>
      <x:c r="H25" s="41" t="str">
        <x:v>Resolve research, permission, budget and publication gates before any live campaign action.</x:v>
      </x:c>
    </x:row>
    <x:row r="26" ht="24" hidden="0" customHeight="1">
      <x:c r="A26" s="34" t="str">
        <x:v>LADIPAGE-RUNBOOK</x:v>
      </x:c>
      <x:c r="B26" s="34" t="str">
        <x:v>Operations</x:v>
      </x:c>
      <x:c r="C26" s="34" t="str">
        <x:v>OSAT / three final routes</x:v>
      </x:c>
      <x:c r="D26" s="34" t="str">
        <x:v>LadiPage draft runbook</x:v>
      </x:c>
      <x:c r="E26" s="34" t="str">
        <x:v>Hoàn tất</x:v>
      </x:c>
      <x:c r="F26" s="34" t="str">
        <x:v>D:\Digiwin_Semiconducter_Workspace\operations\LadiPage_Draft_Runbook.md</x:v>
      </x:c>
      <x:c r="G26" s="42" t="str">
        <x:v>Runbook records historical prototype preview separately from current final-route import attempts.</x:v>
      </x:c>
      <x:c r="H26" s="42" t="str">
        <x:v>Current final candidates have no draft/preview; supported file transfer is unresolved.</x:v>
      </x:c>
    </x:row>
    <x:row r="27" ht="24" hidden="0" customHeight="1">
      <x:c r="A27" s="33" t="str">
        <x:v>UI-EVIDENCE</x:v>
      </x:c>
      <x:c r="B27" s="33" t="str">
        <x:v>Operations</x:v>
      </x:c>
      <x:c r="C27" s="33" t="str">
        <x:v>Pre-ad UI / LadiPage / Google</x:v>
      </x:c>
      <x:c r="D27" s="33" t="str">
        <x:v>Pre-Ad UI Validation Evidence</x:v>
      </x:c>
      <x:c r="E27" s="33" t="str">
        <x:v>Hoàn tất</x:v>
      </x:c>
      <x:c r="F27" s="33" t="str">
        <x:v>D:\Digiwin_Semiconducter_Workspace\operations\Pre_Ad_UI_Validation_Evidence.md</x:v>
      </x:c>
      <x:c r="G27" s="41" t="str">
        <x:v>Sanitized UI and local QA evidence; latest OSAT click exposed no chooser; Google modal observation is Coordinator-reported.</x:v>
      </x:c>
      <x:c r="H27" s="41" t="str">
        <x:v>Pre-publication visual QA remains pending successful import and editor preview.</x:v>
      </x:c>
    </x:row>
    <x:row r="28" ht="15" hidden="0" customHeight="1">
      <x:c r="A28" s="34" t="str">
        <x:v>OSAT-SOT</x:v>
      </x:c>
      <x:c r="B28" s="34" t="str">
        <x:v>Operations</x:v>
      </x:c>
      <x:c r="C28" s="34" t="str">
        <x:v>OSAT</x:v>
      </x:c>
      <x:c r="D28" s="34" t="str">
        <x:v>OSAT Route Source of Truth</x:v>
      </x:c>
      <x:c r="E28" s="34" t="str">
        <x:v>Hoàn tất</x:v>
      </x:c>
      <x:c r="F28" s="34" t="str">
        <x:v>D:\Digiwin_Semiconducter_Workspace\operations\OSAT_Route_Source_of_Truth.md</x:v>
      </x:c>
      <x:c r="G28" s="42" t="str">
        <x:v>Canonical OSAT source/claim boundary document exists.</x:v>
      </x:c>
      <x:c r="H28" s="42" t="str">
        <x:v>Keep claims within verified source scope and usage rights.</x:v>
      </x:c>
    </x:row>
    <x:row r="29" ht="15" hidden="0" customHeight="1">
      <x:c r="A29" s="36" t="str">
        <x:v>PUBLIC-SOURCES</x:v>
      </x:c>
      <x:c r="B29" s="36" t="str">
        <x:v>Operations</x:v>
      </x:c>
      <x:c r="C29" s="36" t="str">
        <x:v>Cross-channel</x:v>
      </x:c>
      <x:c r="D29" s="36" t="str">
        <x:v>Public Source Register</x:v>
      </x:c>
      <x:c r="E29" s="36" t="str">
        <x:v>Hoàn tất</x:v>
      </x:c>
      <x:c r="F29" s="36" t="str">
        <x:v>D:\Digiwin_Semiconducter_Workspace\operations\Public_Source_Register.md</x:v>
      </x:c>
      <x:c r="G29" s="44" t="str">
        <x:v>Sanitized public-source register exists.</x:v>
      </x:c>
      <x:c r="H29" s="44" t="str">
        <x:v>Use public sources only within their stated scope; do not infer live account proof.</x:v>
      </x:c>
    </x:row>
  </x:sheetData>
  <x:conditionalFormatting sqref="E6:E29">
    <x:cfRule type="containsText" dxfId="4" priority="1" operator="containsText" text="Hoàn tất"/>
    <x:cfRule type="containsText" dxfId="5" priority="2" operator="containsText" text="Đang thực hiện"/>
    <x:cfRule type="containsText" dxfId="6" priority="3" operator="containsText" text="Bị kẹt"/>
    <x:cfRule type="containsText" dxfId="7" priority="4" operator="containsText" text="Hoãn"/>
  </x:conditionalFormatting>
  <x:pageMargins left="0.7" right="0.7" top="0.75" bottom="0.75" header="0.3" footer="0.3"/>
  <x:tableParts count="1">
    <x:tablePart xmlns:r="http://schemas.openxmlformats.org/officeDocument/2006/relationships" r:id="R28dba6d7bf9d424d"/>
  </x:tableParts>
</x:worksheet>
</file>